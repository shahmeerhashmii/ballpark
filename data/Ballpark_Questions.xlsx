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ow It Works" sheetId="1" state="visible" r:id="rId1"/>
    <sheet xmlns:r="http://schemas.openxmlformats.org/officeDocument/2006/relationships" name="Scoring" sheetId="2" state="visible" r:id="rId2"/>
    <sheet xmlns:r="http://schemas.openxmlformats.org/officeDocument/2006/relationships" name="Daily Questions" sheetId="3" state="visible" r:id="rId3"/>
    <sheet xmlns:r="http://schemas.openxmlformats.org/officeDocument/2006/relationships" name="Category Mix" sheetId="4" state="visible" r:id="rId4"/>
    <sheet xmlns:r="http://schemas.openxmlformats.org/officeDocument/2006/relationships" name="Reserve" sheetId="5" state="visible" r:id="rId5"/>
  </sheets>
  <definedNames>
    <definedName name="_xlnm._FilterDatabase" localSheetId="2" hidden="1">'Daily Questions'!$A$1:$L$1501</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ddd\ mmm\ d&quot;, &quot;yyyy"/>
    <numFmt numFmtId="165" formatCode="0.0%"/>
    <numFmt numFmtId="166" formatCode="#,##0.###"/>
    <numFmt numFmtId="167" formatCode="yyyy-mm-dd h:mm:ss"/>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16302B"/>
      <sz val="18"/>
    </font>
    <font>
      <name val="Arial"/>
      <charset val="1"/>
      <family val="0"/>
      <i val="1"/>
      <color rgb="FF555555"/>
      <sz val="10"/>
    </font>
    <font>
      <name val="Arial"/>
      <charset val="1"/>
      <family val="0"/>
      <b val="1"/>
      <color rgb="FF16302B"/>
      <sz val="10"/>
    </font>
    <font>
      <name val="Arial"/>
      <charset val="1"/>
      <family val="0"/>
      <sz val="10"/>
    </font>
    <font>
      <name val="Arial"/>
      <charset val="1"/>
      <family val="0"/>
      <b val="1"/>
      <color rgb="FFFFFFFF"/>
      <sz val="10"/>
    </font>
    <font>
      <name val="Arial"/>
      <charset val="1"/>
      <family val="0"/>
      <b val="1"/>
      <sz val="10"/>
    </font>
    <font>
      <name val="Arial"/>
      <charset val="1"/>
      <family val="0"/>
      <color rgb="FF0000FF"/>
      <sz val="10"/>
    </font>
    <font>
      <name val="Arial"/>
      <charset val="1"/>
      <family val="0"/>
      <i val="1"/>
      <sz val="9"/>
    </font>
  </fonts>
  <fills count="5">
    <fill>
      <patternFill/>
    </fill>
    <fill>
      <patternFill patternType="gray125"/>
    </fill>
    <fill>
      <patternFill patternType="solid">
        <fgColor rgb="FF1F6F6B"/>
        <bgColor rgb="FF008080"/>
      </patternFill>
    </fill>
    <fill>
      <patternFill patternType="solid">
        <fgColor rgb="FF16302B"/>
        <bgColor rgb="FF003300"/>
      </patternFill>
    </fill>
    <fill>
      <patternFill patternType="solid">
        <fgColor rgb="FFF3F6F5"/>
        <bgColor rgb="FFFFFFFF"/>
      </patternFill>
    </fill>
  </fills>
  <borders count="2">
    <border>
      <left/>
      <right/>
      <top/>
      <bottom/>
      <diagonal/>
    </border>
    <border>
      <left style="thin">
        <color rgb="FFD5DDDB"/>
      </left>
      <right style="thin">
        <color rgb="FFD5DDDB"/>
      </right>
      <top style="thin">
        <color rgb="FFD5DDDB"/>
      </top>
      <bottom style="thin">
        <color rgb="FFD5DDD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left" vertical="top" wrapText="1"/>
    </xf>
    <xf numFmtId="164" fontId="7" fillId="0" borderId="0" applyAlignment="1" pivotButton="0" quotePrefix="0" xfId="0">
      <alignment horizontal="left" vertical="top" wrapText="1"/>
    </xf>
    <xf numFmtId="0" fontId="8" fillId="2" borderId="1" applyAlignment="1" pivotButton="0" quotePrefix="0" xfId="0">
      <alignment horizontal="general" vertical="center" wrapText="1"/>
    </xf>
    <xf numFmtId="0" fontId="7" fillId="0" borderId="1" applyAlignment="1" pivotButton="0" quotePrefix="0" xfId="0">
      <alignment horizontal="general" vertical="top" wrapText="1"/>
    </xf>
    <xf numFmtId="9" fontId="7" fillId="0" borderId="1" applyAlignment="1" pivotButton="0" quotePrefix="0" xfId="0">
      <alignment horizontal="center" vertical="top" wrapText="1"/>
    </xf>
    <xf numFmtId="0" fontId="7" fillId="0" borderId="1" applyAlignment="1" pivotButton="0" quotePrefix="0" xfId="0">
      <alignment horizontal="center" vertical="top" wrapText="1"/>
    </xf>
    <xf numFmtId="0" fontId="9" fillId="0" borderId="1" applyAlignment="1" pivotButton="0" quotePrefix="0" xfId="0">
      <alignment horizontal="general" vertical="top" wrapText="1"/>
    </xf>
    <xf numFmtId="3" fontId="10" fillId="0" borderId="1" applyAlignment="1" pivotButton="0" quotePrefix="0" xfId="0">
      <alignment horizontal="center" vertical="top" wrapText="1"/>
    </xf>
    <xf numFmtId="165" fontId="7" fillId="0" borderId="1" applyAlignment="1" pivotButton="0" quotePrefix="0" xfId="0">
      <alignment horizontal="center" vertical="top" wrapText="1"/>
    </xf>
    <xf numFmtId="0" fontId="11" fillId="0" borderId="0" applyAlignment="1" pivotButton="0" quotePrefix="0" xfId="0">
      <alignment horizontal="general" vertical="bottom" wrapText="1"/>
    </xf>
    <xf numFmtId="0" fontId="8" fillId="3" borderId="1" applyAlignment="1" pivotButton="0" quotePrefix="0" xfId="0">
      <alignment horizontal="general" vertical="center" wrapText="1"/>
    </xf>
    <xf numFmtId="164" fontId="7" fillId="0" borderId="1" applyAlignment="1" pivotButton="0" quotePrefix="0" xfId="0">
      <alignment horizontal="general" vertical="top" wrapText="1"/>
    </xf>
    <xf numFmtId="166" fontId="7" fillId="0" borderId="1" applyAlignment="1" pivotButton="0" quotePrefix="0" xfId="0">
      <alignment horizontal="general" vertical="top" wrapText="1"/>
    </xf>
    <xf numFmtId="0" fontId="7" fillId="0" borderId="1" applyAlignment="1" pivotButton="0" quotePrefix="0" xfId="0">
      <alignment horizontal="center" vertical="top" wrapText="1"/>
    </xf>
    <xf numFmtId="0" fontId="7" fillId="4" borderId="1" applyAlignment="1" pivotButton="0" quotePrefix="0" xfId="0">
      <alignment horizontal="center" vertical="top" wrapText="1"/>
    </xf>
    <xf numFmtId="164" fontId="7" fillId="4" borderId="1" applyAlignment="1" pivotButton="0" quotePrefix="0" xfId="0">
      <alignment horizontal="general" vertical="top" wrapText="1"/>
    </xf>
    <xf numFmtId="0" fontId="7" fillId="4" borderId="1" applyAlignment="1" pivotButton="0" quotePrefix="0" xfId="0">
      <alignment horizontal="general" vertical="top" wrapText="1"/>
    </xf>
    <xf numFmtId="0" fontId="9" fillId="4" borderId="1" applyAlignment="1" pivotButton="0" quotePrefix="0" xfId="0">
      <alignment horizontal="general" vertical="top" wrapText="1"/>
    </xf>
    <xf numFmtId="166" fontId="7" fillId="4" borderId="1" applyAlignment="1" pivotButton="0" quotePrefix="0" xfId="0">
      <alignment horizontal="general" vertical="top" wrapText="1"/>
    </xf>
    <xf numFmtId="0" fontId="7" fillId="4" borderId="1" applyAlignment="1" pivotButton="0" quotePrefix="0" xfId="0">
      <alignment horizontal="center" vertical="top" wrapText="1"/>
    </xf>
    <xf numFmtId="0" fontId="9" fillId="0" borderId="1"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left" vertical="top" wrapText="1"/>
    </xf>
    <xf numFmtId="164" fontId="7" fillId="0" borderId="0" applyAlignment="1" pivotButton="0" quotePrefix="0" xfId="0">
      <alignment horizontal="left" vertical="top" wrapText="1"/>
    </xf>
    <xf numFmtId="0" fontId="8" fillId="2" borderId="1" applyAlignment="1" pivotButton="0" quotePrefix="0" xfId="0">
      <alignment horizontal="general" vertical="center" wrapText="1"/>
    </xf>
    <xf numFmtId="0" fontId="7" fillId="0" borderId="1" applyAlignment="1" pivotButton="0" quotePrefix="0" xfId="0">
      <alignment horizontal="general" vertical="top" wrapText="1"/>
    </xf>
    <xf numFmtId="9" fontId="7" fillId="0" borderId="1" applyAlignment="1" pivotButton="0" quotePrefix="0" xfId="0">
      <alignment horizontal="center" vertical="top" wrapText="1"/>
    </xf>
    <xf numFmtId="0" fontId="7" fillId="0" borderId="1" applyAlignment="1" pivotButton="0" quotePrefix="0" xfId="0">
      <alignment horizontal="center" vertical="top" wrapText="1"/>
    </xf>
    <xf numFmtId="0" fontId="9" fillId="0" borderId="1" applyAlignment="1" pivotButton="0" quotePrefix="0" xfId="0">
      <alignment horizontal="general" vertical="top" wrapText="1"/>
    </xf>
    <xf numFmtId="3" fontId="10" fillId="0" borderId="1" applyAlignment="1" pivotButton="0" quotePrefix="0" xfId="0">
      <alignment horizontal="center" vertical="top" wrapText="1"/>
    </xf>
    <xf numFmtId="165" fontId="7" fillId="0" borderId="1" applyAlignment="1" pivotButton="0" quotePrefix="0" xfId="0">
      <alignment horizontal="center" vertical="top" wrapText="1"/>
    </xf>
    <xf numFmtId="0" fontId="11" fillId="0" borderId="0" applyAlignment="1" pivotButton="0" quotePrefix="0" xfId="0">
      <alignment horizontal="general" vertical="bottom" wrapText="1"/>
    </xf>
    <xf numFmtId="0" fontId="8" fillId="3" borderId="1" applyAlignment="1" pivotButton="0" quotePrefix="0" xfId="0">
      <alignment horizontal="general" vertical="center" wrapText="1"/>
    </xf>
    <xf numFmtId="164" fontId="7" fillId="0" borderId="1" applyAlignment="1" pivotButton="0" quotePrefix="0" xfId="0">
      <alignment horizontal="general" vertical="top" wrapText="1"/>
    </xf>
    <xf numFmtId="166" fontId="7" fillId="0" borderId="1" applyAlignment="1" pivotButton="0" quotePrefix="0" xfId="0">
      <alignment horizontal="general" vertical="top" wrapText="1"/>
    </xf>
    <xf numFmtId="0" fontId="7" fillId="4" borderId="1" applyAlignment="1" pivotButton="0" quotePrefix="0" xfId="0">
      <alignment horizontal="center" vertical="top" wrapText="1"/>
    </xf>
    <xf numFmtId="164" fontId="7" fillId="4" borderId="1" applyAlignment="1" pivotButton="0" quotePrefix="0" xfId="0">
      <alignment horizontal="general" vertical="top" wrapText="1"/>
    </xf>
    <xf numFmtId="0" fontId="7" fillId="4" borderId="1" applyAlignment="1" pivotButton="0" quotePrefix="0" xfId="0">
      <alignment horizontal="general" vertical="top" wrapText="1"/>
    </xf>
    <xf numFmtId="0" fontId="9" fillId="4" borderId="1" applyAlignment="1" pivotButton="0" quotePrefix="0" xfId="0">
      <alignment horizontal="general" vertical="top" wrapText="1"/>
    </xf>
    <xf numFmtId="166" fontId="7" fillId="4" borderId="1" applyAlignment="1" pivotButton="0" quotePrefix="0" xfId="0">
      <alignment horizontal="general" vertical="top" wrapText="1"/>
    </xf>
    <xf numFmtId="0" fontId="9" fillId="0" borderId="1" applyAlignment="1" pivotButton="0" quotePrefix="0" xfId="0">
      <alignment horizontal="center"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6302B"/>
          <bgColor rgb="FF000000"/>
        </patternFill>
      </fill>
    </dxf>
    <dxf>
      <fill>
        <patternFill patternType="solid">
          <fgColor rgb="FFF3F6F5"/>
          <bgColor rgb="FF000000"/>
        </patternFill>
      </fill>
    </dxf>
    <dxf>
      <fill>
        <patternFill patternType="solid">
          <bgColor rgb="FF000000"/>
        </patternFill>
      </fill>
    </dxf>
    <dxf>
      <fill>
        <patternFill patternType="solid">
          <fgColor rgb="FFFFFFFF"/>
          <bgColor rgb="FF000000"/>
        </patternFill>
      </fill>
    </dxf>
    <dxf>
      <fill>
        <patternFill>
          <bgColor rgb="FFF4CCCC"/>
        </patternFill>
      </fill>
    </dxf>
    <dxf>
      <fill>
        <patternFill>
          <bgColor rgb="FFD9EA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6B"/>
      <rgbColor rgb="FFC0C0C0"/>
      <rgbColor rgb="FF808080"/>
      <rgbColor rgb="FF9999FF"/>
      <rgbColor rgb="FF993366"/>
      <rgbColor rgb="FFF3F6F5"/>
      <rgbColor rgb="FFCCFFFF"/>
      <rgbColor rgb="FF660066"/>
      <rgbColor rgb="FFFF8080"/>
      <rgbColor rgb="FF0066CC"/>
      <rgbColor rgb="FFD5DDDB"/>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6302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6302B"/>
    <outlinePr summaryBelow="1" summaryRight="1"/>
    <pageSetUpPr fitToPage="0"/>
  </sheetPr>
  <dimension ref="A1:C1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5" min="1" max="1"/>
    <col width="28" customWidth="1" style="25" min="2" max="2"/>
    <col width="95" customWidth="1" style="25" min="3" max="3"/>
  </cols>
  <sheetData>
    <row r="1"/>
    <row r="2" ht="22.05" customHeight="1" s="26">
      <c r="B2" s="27" t="inlineStr">
        <is>
          <t>Ballpark: daily estimation game</t>
        </is>
      </c>
    </row>
    <row r="3" ht="15" customHeight="1" s="26">
      <c r="B3" s="28" t="inlineStr">
        <is>
          <t>Five questions a day. Guess the number. Hit it out of the park.</t>
        </is>
      </c>
    </row>
    <row r="4"/>
    <row r="5" ht="15" customHeight="1" s="26">
      <c r="B5" s="29" t="inlineStr">
        <is>
          <t>Days in this file</t>
        </is>
      </c>
      <c r="C5" s="30">
        <f>MAX('Daily Questions'!A2:A1501)</f>
        <v/>
      </c>
    </row>
    <row r="6" ht="15" customHeight="1" s="26">
      <c r="B6" s="29" t="inlineStr">
        <is>
          <t>Questions in this file</t>
        </is>
      </c>
      <c r="C6" s="30">
        <f>COUNTA('Daily Questions'!E2:E1501)</f>
        <v/>
      </c>
    </row>
    <row r="7" ht="15" customHeight="1" s="26">
      <c r="B7" s="29" t="inlineStr">
        <is>
          <t>First day</t>
        </is>
      </c>
      <c r="C7" s="31">
        <f>'Daily Questions'!B2</f>
        <v/>
      </c>
    </row>
    <row r="8" ht="15" customHeight="1" s="26">
      <c r="B8" s="29" t="inlineStr">
        <is>
          <t>Last day</t>
        </is>
      </c>
      <c r="C8" s="31">
        <f>MAX('Daily Questions'!B2:B1501)</f>
        <v/>
      </c>
    </row>
    <row r="9" ht="23.85" customHeight="1" s="26">
      <c r="B9" s="29" t="inlineStr">
        <is>
          <t>Repeated categories on any day</t>
        </is>
      </c>
      <c r="C9" s="30">
        <f>IF(MAX('Daily Questions'!L2:L1501)=1,"None. Every day has 5 different categories.","Check the red rows in Daily Questions")</f>
        <v/>
      </c>
    </row>
    <row r="10" ht="46.25" customHeight="1" s="26">
      <c r="B10" s="29" t="inlineStr">
        <is>
          <t>Daily format</t>
        </is>
      </c>
      <c r="C10" s="30" t="inlineStr">
        <is>
          <t>Questions 1 to 4 come from 10 rotating categories (Geography, Sports, Space and Science, Animals and Nature, Human Body, Buildings and Engineering, Movies Music and Games, History, Canada, Food and Everyday Life), never more than one per category in a day, and the same category is avoided on back-to-back days where possible. Questions are ordered easy to hard. Question 5 is always the Distance of the Day.</t>
        </is>
      </c>
    </row>
    <row r="11" ht="23.85" customHeight="1" s="26">
      <c r="B11" s="29" t="inlineStr">
        <is>
          <t>How the game picks today's set</t>
        </is>
      </c>
      <c r="C11" s="30" t="inlineStr">
        <is>
          <t>The game counts days since the first date in this file. Day 1 = first date. If you launch later, just change the start date in the game, the order stays the same.</t>
        </is>
      </c>
    </row>
    <row r="12" ht="23.85" customHeight="1" s="26">
      <c r="B12" s="29" t="inlineStr">
        <is>
          <t>Scoring</t>
        </is>
      </c>
      <c r="C12" s="30" t="inlineStr">
        <is>
          <t>See the Scoring tab. Closeness is a ratio (bigger divided by smaller), so guessing double the answer counts the same as guessing half. Within 10% clears the wall (400+ ft). Up to 3 swings per question in Classic mode; Easy mode is scored separately as right, close or wrong.</t>
        </is>
      </c>
    </row>
    <row r="13" ht="23.85" customHeight="1" s="26">
      <c r="B13" s="29" t="inlineStr">
        <is>
          <t>Why there are no 'what year' questions</t>
        </is>
      </c>
      <c r="C13" s="30" t="inlineStr">
        <is>
          <t>Ratio scoring breaks on years. Guessing 1950 when the answer is 1969 is only 1% off, which would score 90. Every answer here is a positive amount where percent off is meaningful.</t>
        </is>
      </c>
    </row>
    <row r="14" ht="23.85" customHeight="1" s="26">
      <c r="B14" s="29" t="inlineStr">
        <is>
          <t>Answers</t>
        </is>
      </c>
      <c r="C14" s="30" t="inlineStr">
        <is>
          <t>Rounded to a sensible precision. Use the rounded value shown as the 'exact' answer. Some facts (animal sizes, food stats, estimates) are commonly quoted averages, so the Source to Check column says where to confirm.</t>
        </is>
      </c>
    </row>
    <row r="15" ht="23.85" customHeight="1" s="26">
      <c r="B15" s="29" t="inlineStr">
        <is>
          <t>Before launch</t>
        </is>
      </c>
      <c r="C15" s="30" t="inlineStr">
        <is>
          <t>Spot check the answers, especially the Hard ones, and mark the Verified column. Fix anything flagged before that day goes live. Days 90 to 300 (Jan 2 to Jul 31, 2027) were added in Oct 2026 and are marked in the Notes column.</t>
        </is>
      </c>
    </row>
    <row r="16" ht="23.85" customHeight="1" s="26">
      <c r="B16" s="29" t="inlineStr">
        <is>
          <t>Adding more days</t>
        </is>
      </c>
      <c r="C16" s="30" t="inlineStr">
        <is>
          <t>Add new rows at the bottom with the next Day numbers and dates, following the same 5-per-day pattern. The Category Repeats column turns red if a day has two questions from the same category.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1F6F6B"/>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25" min="1" max="1"/>
    <col width="14" customWidth="1" style="25" min="2" max="2"/>
    <col width="10" customWidth="1" style="25" min="3" max="3"/>
    <col width="3" customWidth="1" style="25" min="5" max="5"/>
    <col width="30" customWidth="1" style="25" min="6" max="6"/>
    <col width="16" customWidth="1" style="25" min="7" max="7"/>
  </cols>
  <sheetData>
    <row r="1" ht="15" customHeight="1" s="26">
      <c r="A1" s="32" t="inlineStr">
        <is>
          <t>Hit</t>
        </is>
      </c>
      <c r="B1" s="32" t="inlineStr">
        <is>
          <t>Guess within</t>
        </is>
      </c>
      <c r="C1" s="32" t="inlineStr">
        <is>
          <t>Points</t>
        </is>
      </c>
      <c r="D1" t="inlineStr">
        <is>
          <t>Feet</t>
        </is>
      </c>
      <c r="F1" s="32" t="inlineStr">
        <is>
          <t>Try it</t>
        </is>
      </c>
      <c r="G1" s="32" t="n"/>
    </row>
    <row r="2" ht="15" customHeight="1" s="26">
      <c r="A2" s="33" t="inlineStr">
        <is>
          <t>Out of the park</t>
        </is>
      </c>
      <c r="B2" s="34" t="inlineStr">
        <is>
          <t>10%</t>
        </is>
      </c>
      <c r="C2" s="35" t="inlineStr">
        <is>
          <t>89 to 100</t>
        </is>
      </c>
      <c r="D2" t="inlineStr">
        <is>
          <t>400 to 450</t>
        </is>
      </c>
      <c r="F2" s="36" t="inlineStr">
        <is>
          <t>Real answer</t>
        </is>
      </c>
      <c r="G2" s="37" t="n">
        <v>3359</v>
      </c>
    </row>
    <row r="3" ht="15" customHeight="1" s="26">
      <c r="A3" s="33" t="inlineStr">
        <is>
          <t>Deep to the wall</t>
        </is>
      </c>
      <c r="B3" s="34" t="inlineStr">
        <is>
          <t>25%</t>
        </is>
      </c>
      <c r="C3" s="35" t="inlineStr">
        <is>
          <t>67 to 88</t>
        </is>
      </c>
      <c r="D3" t="inlineStr">
        <is>
          <t>300 to 400</t>
        </is>
      </c>
      <c r="F3" s="36" t="inlineStr">
        <is>
          <t>Your guess</t>
        </is>
      </c>
      <c r="G3" s="37" t="n">
        <v>3000</v>
      </c>
    </row>
    <row r="4" ht="15" customHeight="1" s="26">
      <c r="A4" s="33" t="inlineStr">
        <is>
          <t>Solid hit</t>
        </is>
      </c>
      <c r="B4" s="34" t="inlineStr">
        <is>
          <t>50%</t>
        </is>
      </c>
      <c r="C4" s="35" t="inlineStr">
        <is>
          <t>45 to 66</t>
        </is>
      </c>
      <c r="D4" t="inlineStr">
        <is>
          <t>200 to 300</t>
        </is>
      </c>
      <c r="F4" s="36" t="inlineStr">
        <is>
          <t>How far off (ratio)</t>
        </is>
      </c>
      <c r="G4" s="38">
        <f>IFERROR(MAX(G2,G3)/MIN(G2,G3),"")</f>
        <v/>
      </c>
    </row>
    <row r="5" ht="15" customHeight="1" s="26">
      <c r="A5" s="33" t="inlineStr">
        <is>
          <t>In play</t>
        </is>
      </c>
      <c r="B5" s="34" t="inlineStr">
        <is>
          <t>2x</t>
        </is>
      </c>
      <c r="C5" s="35" t="inlineStr">
        <is>
          <t>23 to 44</t>
        </is>
      </c>
      <c r="D5" t="inlineStr">
        <is>
          <t>100 to 200</t>
        </is>
      </c>
      <c r="F5" s="36" t="inlineStr">
        <is>
          <t>Hit</t>
        </is>
      </c>
      <c r="G5" s="35">
        <f>IF(G4="","",IF(G4&lt;=1.1,"Out of the park",IF(G4&lt;=1.25,"Deep to the wall",IF(G4&lt;=1.5,"Solid hit",IF(G4&lt;=2,"In play",IF(G4&lt;=4,"Caught","Swing and a miss"))))))</f>
        <v/>
      </c>
    </row>
    <row r="6" ht="15" customHeight="1" s="26">
      <c r="A6" s="33" t="inlineStr">
        <is>
          <t>Caught</t>
        </is>
      </c>
      <c r="B6" s="34" t="inlineStr">
        <is>
          <t>4x</t>
        </is>
      </c>
      <c r="C6" s="35" t="inlineStr">
        <is>
          <t>1 to 22</t>
        </is>
      </c>
      <c r="D6" t="inlineStr">
        <is>
          <t>under 100</t>
        </is>
      </c>
    </row>
    <row r="7" ht="39.75" customHeight="1" s="26">
      <c r="A7" s="33" t="inlineStr">
        <is>
          <t>Swing and a miss</t>
        </is>
      </c>
      <c r="B7" s="34" t="inlineStr">
        <is>
          <t>more than 4x</t>
        </is>
      </c>
      <c r="C7" s="35" t="n">
        <v>0</v>
      </c>
      <c r="D7" t="n">
        <v>0</v>
      </c>
      <c r="F7" s="39" t="inlineStr">
        <is>
          <t>Change the blue cells to test. Each extra swing is worth 15% less (then 30%), and a hint costs 15%.</t>
        </is>
      </c>
    </row>
    <row r="8" ht="15" customHeight="1" s="26">
      <c r="A8" s="33" t="n"/>
      <c r="B8" s="34" t="n"/>
      <c r="C8" s="35" t="n"/>
    </row>
    <row r="9" ht="15" customHeight="1" s="26">
      <c r="A9" s="33" t="n"/>
      <c r="B9" s="34" t="n"/>
      <c r="C9" s="35" t="n"/>
      <c r="F9" s="36" t="inlineStr">
        <is>
          <t>Max possible per day</t>
        </is>
      </c>
      <c r="G9" s="35" t="inlineStr">
        <is>
          <t>2,250 ft (450 per question)</t>
        </is>
      </c>
    </row>
    <row r="10" ht="15" customHeight="1" s="26">
      <c r="A10" s="33" t="n"/>
      <c r="B10" s="34" t="n"/>
      <c r="C10" s="35" t="n"/>
    </row>
    <row r="11" ht="15" customHeight="1" s="26">
      <c r="A11" s="33" t="n"/>
      <c r="B11" s="34" t="n"/>
      <c r="C11" s="35" t="n"/>
    </row>
    <row r="12" ht="15" customHeight="1" s="26">
      <c r="A12" s="33" t="n"/>
      <c r="B12" s="35" t="n"/>
      <c r="C12" s="3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16302B"/>
    <outlinePr summaryBelow="1" summaryRight="1"/>
    <pageSetUpPr fitToPage="0"/>
  </sheetPr>
  <dimension ref="A1:L1501"/>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6" customWidth="1" style="25" min="1" max="1"/>
    <col width="12" customWidth="1" style="25" min="2" max="2"/>
    <col width="5" customWidth="1" style="25" min="3" max="3"/>
    <col width="22" customWidth="1" style="25" min="4" max="4"/>
    <col width="64" customWidth="1" style="25" min="5" max="5"/>
    <col width="14" customWidth="1" style="25" min="6" max="6"/>
    <col width="18" customWidth="1" style="25" min="7" max="7"/>
    <col width="11" customWidth="1" style="25" min="8" max="8"/>
    <col width="36" customWidth="1" style="25" min="9" max="9"/>
    <col width="11" customWidth="1" style="25" min="10" max="10"/>
    <col width="26" customWidth="1" style="25" min="11" max="11"/>
    <col width="14" customWidth="1" style="25" min="12" max="12"/>
  </cols>
  <sheetData>
    <row r="1" ht="30" customHeight="1" s="26">
      <c r="A1" s="40" t="inlineStr">
        <is>
          <t>Day</t>
        </is>
      </c>
      <c r="B1" s="40" t="inlineStr">
        <is>
          <t>Date</t>
        </is>
      </c>
      <c r="C1" s="40" t="inlineStr">
        <is>
          <t>Q#</t>
        </is>
      </c>
      <c r="D1" s="40" t="inlineStr">
        <is>
          <t>Category</t>
        </is>
      </c>
      <c r="E1" s="40" t="inlineStr">
        <is>
          <t>Question</t>
        </is>
      </c>
      <c r="F1" s="40" t="inlineStr">
        <is>
          <t>Answer</t>
        </is>
      </c>
      <c r="G1" s="40" t="inlineStr">
        <is>
          <t>Unit</t>
        </is>
      </c>
      <c r="H1" s="40" t="inlineStr">
        <is>
          <t>Difficulty</t>
        </is>
      </c>
      <c r="I1" s="40" t="inlineStr">
        <is>
          <t>Source to Check</t>
        </is>
      </c>
      <c r="J1" s="40" t="inlineStr">
        <is>
          <t>Verified?</t>
        </is>
      </c>
      <c r="K1" s="40" t="inlineStr">
        <is>
          <t>Notes</t>
        </is>
      </c>
      <c r="L1" s="40" t="inlineStr">
        <is>
          <t>Category Repeats (must be 1)</t>
        </is>
      </c>
    </row>
    <row r="2" ht="23.85" customHeight="1" s="26">
      <c r="A2" s="35" t="n">
        <v>1</v>
      </c>
      <c r="B2" s="41" t="n">
        <v>46300</v>
      </c>
      <c r="C2" s="35" t="n">
        <v>1</v>
      </c>
      <c r="D2" s="33" t="inlineStr">
        <is>
          <t>Buildings and Engineering</t>
        </is>
      </c>
      <c r="E2" s="36" t="inlineStr">
        <is>
          <t>How tall is the Hoover Dam?</t>
        </is>
      </c>
      <c r="F2" s="42" t="n">
        <v>221</v>
      </c>
      <c r="G2" s="33" t="inlineStr">
        <is>
          <t>metres</t>
        </is>
      </c>
      <c r="H2" s="35" t="inlineStr">
        <is>
          <t>Medium</t>
        </is>
      </c>
      <c r="I2" s="33" t="inlineStr">
        <is>
          <t>US Bureau of Reclamation</t>
        </is>
      </c>
      <c r="J2" s="35" t="n"/>
      <c r="K2" s="33" t="n"/>
      <c r="L2" s="35">
        <f>COUNTIFS($A$2:$A$1501,A2,$D$2:$D$1501,D2)</f>
        <v/>
      </c>
    </row>
    <row r="3" ht="23.85" customHeight="1" s="26">
      <c r="A3" s="35" t="n">
        <v>1</v>
      </c>
      <c r="B3" s="41" t="n">
        <v>46300</v>
      </c>
      <c r="C3" s="35" t="n">
        <v>2</v>
      </c>
      <c r="D3" s="33" t="inlineStr">
        <is>
          <t>Movies, Music and Games</t>
        </is>
      </c>
      <c r="E3" s="36" t="inlineStr">
        <is>
          <t>How long is The Godfather?</t>
        </is>
      </c>
      <c r="F3" s="42" t="n">
        <v>175</v>
      </c>
      <c r="G3" s="33" t="inlineStr">
        <is>
          <t>minutes</t>
        </is>
      </c>
      <c r="H3" s="35" t="inlineStr">
        <is>
          <t>Medium</t>
        </is>
      </c>
      <c r="I3" s="33" t="inlineStr">
        <is>
          <t>IMDb</t>
        </is>
      </c>
      <c r="J3" s="35" t="n"/>
      <c r="K3" s="33" t="n"/>
      <c r="L3" s="35">
        <f>COUNTIFS($A$2:$A$1501,A3,$D$2:$D$1501,D3)</f>
        <v/>
      </c>
    </row>
    <row r="4" ht="23.85" customHeight="1" s="26">
      <c r="A4" s="35" t="n">
        <v>1</v>
      </c>
      <c r="B4" s="41" t="n">
        <v>46300</v>
      </c>
      <c r="C4" s="35" t="n">
        <v>3</v>
      </c>
      <c r="D4" s="33" t="inlineStr">
        <is>
          <t>Geography</t>
        </is>
      </c>
      <c r="E4" s="36" t="inlineStr">
        <is>
          <t>How tall is Aconcagua, the highest mountain in South America?</t>
        </is>
      </c>
      <c r="F4" s="42" t="n">
        <v>6961</v>
      </c>
      <c r="G4" s="33" t="inlineStr">
        <is>
          <t>metres</t>
        </is>
      </c>
      <c r="H4" s="35" t="inlineStr">
        <is>
          <t>Hard</t>
        </is>
      </c>
      <c r="I4" s="33" t="inlineStr">
        <is>
          <t>Britannica / national survey agencies</t>
        </is>
      </c>
      <c r="J4" s="35" t="n"/>
      <c r="K4" s="33" t="n"/>
      <c r="L4" s="35">
        <f>COUNTIFS($A$2:$A$1501,A4,$D$2:$D$1501,D4)</f>
        <v/>
      </c>
    </row>
    <row r="5" ht="23.85" customHeight="1" s="26">
      <c r="A5" s="35" t="n">
        <v>1</v>
      </c>
      <c r="B5" s="41" t="n">
        <v>46300</v>
      </c>
      <c r="C5" s="35" t="n">
        <v>4</v>
      </c>
      <c r="D5" s="33" t="inlineStr">
        <is>
          <t>Sports</t>
        </is>
      </c>
      <c r="E5" s="36" t="inlineStr">
        <is>
          <t>How many consecutive games did Cal Ripken Jr. play?</t>
        </is>
      </c>
      <c r="F5" s="42" t="n">
        <v>2632</v>
      </c>
      <c r="G5" s="33" t="inlineStr">
        <is>
          <t>games</t>
        </is>
      </c>
      <c r="H5" s="35" t="inlineStr">
        <is>
          <t>Hard</t>
        </is>
      </c>
      <c r="I5" s="33" t="inlineStr">
        <is>
          <t>MLB.com</t>
        </is>
      </c>
      <c r="J5" s="35" t="n"/>
      <c r="K5" s="33" t="n"/>
      <c r="L5" s="35">
        <f>COUNTIFS($A$2:$A$1501,A5,$D$2:$D$1501,D5)</f>
        <v/>
      </c>
    </row>
    <row r="6" ht="23.85" customHeight="1" s="26">
      <c r="A6" s="35" t="n">
        <v>1</v>
      </c>
      <c r="B6" s="41" t="n">
        <v>46300</v>
      </c>
      <c r="C6" s="35" t="n">
        <v>5</v>
      </c>
      <c r="D6" s="33" t="inlineStr">
        <is>
          <t>Distance of the Day</t>
        </is>
      </c>
      <c r="E6" s="36" t="inlineStr">
        <is>
          <t>How far is it in a straight line from Iqaluit to New York?</t>
        </is>
      </c>
      <c r="F6" s="42" t="n">
        <v>2590</v>
      </c>
      <c r="G6" s="33" t="inlineStr">
        <is>
          <t>km</t>
        </is>
      </c>
      <c r="H6" s="35" t="inlineStr">
        <is>
          <t>Medium</t>
        </is>
      </c>
      <c r="I6" s="33" t="inlineStr">
        <is>
          <t>Computed great-circle distance (city centre to city centre)</t>
        </is>
      </c>
      <c r="J6" s="35" t="n"/>
      <c r="K6" s="33" t="n"/>
      <c r="L6" s="35">
        <f>COUNTIFS($A$2:$A$1501,A6,$D$2:$D$1501,D6)</f>
        <v/>
      </c>
    </row>
    <row r="7" ht="23.85" customHeight="1" s="26">
      <c r="A7" s="43" t="n">
        <v>2</v>
      </c>
      <c r="B7" s="44" t="n">
        <v>46301</v>
      </c>
      <c r="C7" s="43" t="n">
        <v>1</v>
      </c>
      <c r="D7" s="45" t="inlineStr">
        <is>
          <t>Animals and Nature</t>
        </is>
      </c>
      <c r="E7" s="46" t="inlineStr">
        <is>
          <t>How many eggs does a modern laying hen produce in a year?</t>
        </is>
      </c>
      <c r="F7" s="47" t="n">
        <v>300</v>
      </c>
      <c r="G7" s="45" t="inlineStr">
        <is>
          <t>eggs</t>
        </is>
      </c>
      <c r="H7" s="43" t="inlineStr">
        <is>
          <t>Medium</t>
        </is>
      </c>
      <c r="I7" s="45" t="inlineStr">
        <is>
          <t>Britannica / National Geographic / Guinness World Records</t>
        </is>
      </c>
      <c r="J7" s="43" t="n"/>
      <c r="K7" s="45" t="n"/>
      <c r="L7" s="43">
        <f>COUNTIFS($A$2:$A$1501,A7,$D$2:$D$1501,D7)</f>
        <v/>
      </c>
    </row>
    <row r="8" ht="23.85" customHeight="1" s="26">
      <c r="A8" s="43" t="n">
        <v>2</v>
      </c>
      <c r="B8" s="44" t="n">
        <v>46301</v>
      </c>
      <c r="C8" s="43" t="n">
        <v>2</v>
      </c>
      <c r="D8" s="45" t="inlineStr">
        <is>
          <t>Canada</t>
        </is>
      </c>
      <c r="E8" s="46" t="inlineStr">
        <is>
          <t>How many litres of maple sap does it take to make 1 litre of maple syrup?</t>
        </is>
      </c>
      <c r="F8" s="47" t="n">
        <v>40</v>
      </c>
      <c r="G8" s="45" t="inlineStr">
        <is>
          <t>litres</t>
        </is>
      </c>
      <c r="H8" s="43" t="inlineStr">
        <is>
          <t>Medium</t>
        </is>
      </c>
      <c r="I8" s="45" t="inlineStr">
        <is>
          <t>Natural Resources Canada / Statistics Canada / Parks Canada</t>
        </is>
      </c>
      <c r="J8" s="43" t="n"/>
      <c r="K8" s="45" t="n"/>
      <c r="L8" s="43">
        <f>COUNTIFS($A$2:$A$1501,A8,$D$2:$D$1501,D8)</f>
        <v/>
      </c>
    </row>
    <row r="9" ht="23.85" customHeight="1" s="26">
      <c r="A9" s="43" t="n">
        <v>2</v>
      </c>
      <c r="B9" s="44" t="n">
        <v>46301</v>
      </c>
      <c r="C9" s="43" t="n">
        <v>3</v>
      </c>
      <c r="D9" s="45" t="inlineStr">
        <is>
          <t>Space and Science</t>
        </is>
      </c>
      <c r="E9" s="46" t="inlineStr">
        <is>
          <t>How many centimetres does the Moon drift away from Earth each year?</t>
        </is>
      </c>
      <c r="F9" s="47" t="n">
        <v>3.8</v>
      </c>
      <c r="G9" s="45" t="inlineStr">
        <is>
          <t>cm</t>
        </is>
      </c>
      <c r="H9" s="43" t="inlineStr">
        <is>
          <t>Hard</t>
        </is>
      </c>
      <c r="I9" s="45" t="inlineStr">
        <is>
          <t>NASA</t>
        </is>
      </c>
      <c r="J9" s="43" t="n"/>
      <c r="K9" s="45" t="n"/>
      <c r="L9" s="43">
        <f>COUNTIFS($A$2:$A$1501,A9,$D$2:$D$1501,D9)</f>
        <v/>
      </c>
    </row>
    <row r="10" ht="23.85" customHeight="1" s="26">
      <c r="A10" s="43" t="n">
        <v>2</v>
      </c>
      <c r="B10" s="44" t="n">
        <v>46301</v>
      </c>
      <c r="C10" s="43" t="n">
        <v>4</v>
      </c>
      <c r="D10" s="45" t="inlineStr">
        <is>
          <t>History</t>
        </is>
      </c>
      <c r="E10" s="46" t="inlineStr">
        <is>
          <t>How long was the Oregon Trail?</t>
        </is>
      </c>
      <c r="F10" s="47" t="n">
        <v>3490</v>
      </c>
      <c r="G10" s="45" t="inlineStr">
        <is>
          <t>km</t>
        </is>
      </c>
      <c r="H10" s="43" t="inlineStr">
        <is>
          <t>Hard</t>
        </is>
      </c>
      <c r="I10" s="45" t="inlineStr">
        <is>
          <t>US National Park Service</t>
        </is>
      </c>
      <c r="J10" s="43" t="n"/>
      <c r="K10" s="45" t="n"/>
      <c r="L10" s="43">
        <f>COUNTIFS($A$2:$A$1501,A10,$D$2:$D$1501,D10)</f>
        <v/>
      </c>
    </row>
    <row r="11" ht="23.85" customHeight="1" s="26">
      <c r="A11" s="43" t="n">
        <v>2</v>
      </c>
      <c r="B11" s="44" t="n">
        <v>46301</v>
      </c>
      <c r="C11" s="43" t="n">
        <v>5</v>
      </c>
      <c r="D11" s="45" t="inlineStr">
        <is>
          <t>Distance of the Day</t>
        </is>
      </c>
      <c r="E11" s="46" t="inlineStr">
        <is>
          <t>How far is it in a straight line from Karachi to Singapore?</t>
        </is>
      </c>
      <c r="F11" s="47" t="n">
        <v>4740</v>
      </c>
      <c r="G11" s="45" t="inlineStr">
        <is>
          <t>km</t>
        </is>
      </c>
      <c r="H11" s="43" t="inlineStr">
        <is>
          <t>Medium</t>
        </is>
      </c>
      <c r="I11" s="45" t="inlineStr">
        <is>
          <t>Computed great-circle distance (city centre to city centre)</t>
        </is>
      </c>
      <c r="J11" s="43" t="n"/>
      <c r="K11" s="45" t="n"/>
      <c r="L11" s="43">
        <f>COUNTIFS($A$2:$A$1501,A11,$D$2:$D$1501,D11)</f>
        <v/>
      </c>
    </row>
    <row r="12" ht="23.85" customHeight="1" s="26">
      <c r="A12" s="35" t="n">
        <v>3</v>
      </c>
      <c r="B12" s="41" t="n">
        <v>46302</v>
      </c>
      <c r="C12" s="35" t="n">
        <v>1</v>
      </c>
      <c r="D12" s="33" t="inlineStr">
        <is>
          <t>Buildings and Engineering</t>
        </is>
      </c>
      <c r="E12" s="36" t="inlineStr">
        <is>
          <t>How tall was the Saturn V rocket that launched Apollo 11?</t>
        </is>
      </c>
      <c r="F12" s="42" t="n">
        <v>111</v>
      </c>
      <c r="G12" s="33" t="inlineStr">
        <is>
          <t>metres</t>
        </is>
      </c>
      <c r="H12" s="35" t="inlineStr">
        <is>
          <t>Medium</t>
        </is>
      </c>
      <c r="I12" s="33" t="inlineStr">
        <is>
          <t>NASA</t>
        </is>
      </c>
      <c r="J12" s="35" t="n"/>
      <c r="K12" s="33" t="n"/>
      <c r="L12" s="35">
        <f>COUNTIFS($A$2:$A$1501,A12,$D$2:$D$1501,D12)</f>
        <v/>
      </c>
    </row>
    <row r="13" ht="23.85" customHeight="1" s="26">
      <c r="A13" s="35" t="n">
        <v>3</v>
      </c>
      <c r="B13" s="41" t="n">
        <v>46302</v>
      </c>
      <c r="C13" s="35" t="n">
        <v>2</v>
      </c>
      <c r="D13" s="33" t="inlineStr">
        <is>
          <t>Sports</t>
        </is>
      </c>
      <c r="E13" s="36" t="inlineStr">
        <is>
          <t>How many Stanley Cups have the Montreal Canadiens won?</t>
        </is>
      </c>
      <c r="F13" s="42" t="n">
        <v>24</v>
      </c>
      <c r="G13" s="33" t="inlineStr">
        <is>
          <t>Stanley Cups</t>
        </is>
      </c>
      <c r="H13" s="35" t="inlineStr">
        <is>
          <t>Medium</t>
        </is>
      </c>
      <c r="I13" s="33" t="inlineStr">
        <is>
          <t>NHL Records</t>
        </is>
      </c>
      <c r="J13" s="35" t="n"/>
      <c r="K13" s="33" t="n"/>
      <c r="L13" s="35">
        <f>COUNTIFS($A$2:$A$1501,A13,$D$2:$D$1501,D13)</f>
        <v/>
      </c>
    </row>
    <row r="14" ht="23.85" customHeight="1" s="26">
      <c r="A14" s="35" t="n">
        <v>3</v>
      </c>
      <c r="B14" s="41" t="n">
        <v>46302</v>
      </c>
      <c r="C14" s="35" t="n">
        <v>3</v>
      </c>
      <c r="D14" s="33" t="inlineStr">
        <is>
          <t>Geography</t>
        </is>
      </c>
      <c r="E14" s="36" t="inlineStr">
        <is>
          <t>How big is Italy?</t>
        </is>
      </c>
      <c r="F14" s="42" t="n">
        <v>301340</v>
      </c>
      <c r="G14" s="33" t="inlineStr">
        <is>
          <t>km²</t>
        </is>
      </c>
      <c r="H14" s="35" t="inlineStr">
        <is>
          <t>Hard</t>
        </is>
      </c>
      <c r="I14" s="33" t="inlineStr">
        <is>
          <t>Britannica / national survey agencies</t>
        </is>
      </c>
      <c r="J14" s="35" t="n"/>
      <c r="K14" s="33" t="n"/>
      <c r="L14" s="35">
        <f>COUNTIFS($A$2:$A$1501,A14,$D$2:$D$1501,D14)</f>
        <v/>
      </c>
    </row>
    <row r="15" ht="23.85" customHeight="1" s="26">
      <c r="A15" s="35" t="n">
        <v>3</v>
      </c>
      <c r="B15" s="41" t="n">
        <v>46302</v>
      </c>
      <c r="C15" s="35" t="n">
        <v>4</v>
      </c>
      <c r="D15" s="33" t="inlineStr">
        <is>
          <t>Movies, Music and Games</t>
        </is>
      </c>
      <c r="E15" s="36" t="inlineStr">
        <is>
          <t>How many possible positions does a Rubik's Cube have?</t>
        </is>
      </c>
      <c r="F15" s="42" t="n">
        <v>43</v>
      </c>
      <c r="G15" s="33" t="inlineStr">
        <is>
          <t>quintillion</t>
        </is>
      </c>
      <c r="H15" s="35" t="inlineStr">
        <is>
          <t>Hard</t>
        </is>
      </c>
      <c r="I15" s="33" t="inlineStr">
        <is>
          <t>IMDb / official records / Guinness World Records</t>
        </is>
      </c>
      <c r="J15" s="35" t="n"/>
      <c r="K15" s="33" t="n"/>
      <c r="L15" s="35">
        <f>COUNTIFS($A$2:$A$1501,A15,$D$2:$D$1501,D15)</f>
        <v/>
      </c>
    </row>
    <row r="16" ht="23.85" customHeight="1" s="26">
      <c r="A16" s="35" t="n">
        <v>3</v>
      </c>
      <c r="B16" s="41" t="n">
        <v>46302</v>
      </c>
      <c r="C16" s="35" t="n">
        <v>5</v>
      </c>
      <c r="D16" s="33" t="inlineStr">
        <is>
          <t>Distance of the Day</t>
        </is>
      </c>
      <c r="E16" s="36" t="inlineStr">
        <is>
          <t>How far is it in a straight line from Vancouver to Ottawa?</t>
        </is>
      </c>
      <c r="F16" s="42" t="n">
        <v>3540</v>
      </c>
      <c r="G16" s="33" t="inlineStr">
        <is>
          <t>km</t>
        </is>
      </c>
      <c r="H16" s="35" t="inlineStr">
        <is>
          <t>Medium</t>
        </is>
      </c>
      <c r="I16" s="33" t="inlineStr">
        <is>
          <t>Computed great-circle distance (city centre to city centre)</t>
        </is>
      </c>
      <c r="J16" s="35" t="n"/>
      <c r="K16" s="33" t="n"/>
      <c r="L16" s="35">
        <f>COUNTIFS($A$2:$A$1501,A16,$D$2:$D$1501,D16)</f>
        <v/>
      </c>
    </row>
    <row r="17" ht="23.85" customHeight="1" s="26">
      <c r="A17" s="43" t="n">
        <v>4</v>
      </c>
      <c r="B17" s="44" t="n">
        <v>46303</v>
      </c>
      <c r="C17" s="43" t="n">
        <v>1</v>
      </c>
      <c r="D17" s="45" t="inlineStr">
        <is>
          <t>Space and Science</t>
        </is>
      </c>
      <c r="E17" s="46" t="inlineStr">
        <is>
          <t>What is Earth's diameter?</t>
        </is>
      </c>
      <c r="F17" s="47" t="n">
        <v>12742</v>
      </c>
      <c r="G17" s="45" t="inlineStr">
        <is>
          <t>km</t>
        </is>
      </c>
      <c r="H17" s="43" t="inlineStr">
        <is>
          <t>Medium</t>
        </is>
      </c>
      <c r="I17" s="45" t="inlineStr">
        <is>
          <t>NASA</t>
        </is>
      </c>
      <c r="J17" s="43" t="n"/>
      <c r="K17" s="45" t="n"/>
      <c r="L17" s="43">
        <f>COUNTIFS($A$2:$A$1501,A17,$D$2:$D$1501,D17)</f>
        <v/>
      </c>
    </row>
    <row r="18" ht="23.85" customHeight="1" s="26">
      <c r="A18" s="43" t="n">
        <v>4</v>
      </c>
      <c r="B18" s="44" t="n">
        <v>46303</v>
      </c>
      <c r="C18" s="43" t="n">
        <v>2</v>
      </c>
      <c r="D18" s="45" t="inlineStr">
        <is>
          <t>Human Body</t>
        </is>
      </c>
      <c r="E18" s="46" t="inlineStr">
        <is>
          <t>How long are all the blood vessels in an adult body, laid end to end?</t>
        </is>
      </c>
      <c r="F18" s="47" t="n">
        <v>100000</v>
      </c>
      <c r="G18" s="45" t="inlineStr">
        <is>
          <t>km</t>
        </is>
      </c>
      <c r="H18" s="43" t="inlineStr">
        <is>
          <t>Medium</t>
        </is>
      </c>
      <c r="I18" s="45" t="inlineStr">
        <is>
          <t>Cleveland Clinic / NIH / Guinness World Records</t>
        </is>
      </c>
      <c r="J18" s="43" t="n"/>
      <c r="K18" s="45" t="n"/>
      <c r="L18" s="43">
        <f>COUNTIFS($A$2:$A$1501,A18,$D$2:$D$1501,D18)</f>
        <v/>
      </c>
    </row>
    <row r="19" ht="23.85" customHeight="1" s="26">
      <c r="A19" s="43" t="n">
        <v>4</v>
      </c>
      <c r="B19" s="44" t="n">
        <v>46303</v>
      </c>
      <c r="C19" s="43" t="n">
        <v>3</v>
      </c>
      <c r="D19" s="45" t="inlineStr">
        <is>
          <t>Animals and Nature</t>
        </is>
      </c>
      <c r="E19" s="46" t="inlineStr">
        <is>
          <t>How wide can a giant squid's eye be?</t>
        </is>
      </c>
      <c r="F19" s="47" t="n">
        <v>27</v>
      </c>
      <c r="G19" s="45" t="inlineStr">
        <is>
          <t>cm</t>
        </is>
      </c>
      <c r="H19" s="43" t="inlineStr">
        <is>
          <t>Hard</t>
        </is>
      </c>
      <c r="I19" s="45" t="inlineStr">
        <is>
          <t>Britannica / National Geographic / Guinness World Records</t>
        </is>
      </c>
      <c r="J19" s="43" t="n"/>
      <c r="K19" s="45" t="n"/>
      <c r="L19" s="43">
        <f>COUNTIFS($A$2:$A$1501,A19,$D$2:$D$1501,D19)</f>
        <v/>
      </c>
    </row>
    <row r="20" ht="23.85" customHeight="1" s="26">
      <c r="A20" s="43" t="n">
        <v>4</v>
      </c>
      <c r="B20" s="44" t="n">
        <v>46303</v>
      </c>
      <c r="C20" s="43" t="n">
        <v>4</v>
      </c>
      <c r="D20" s="45" t="inlineStr">
        <is>
          <t>History</t>
        </is>
      </c>
      <c r="E20" s="46" t="inlineStr">
        <is>
          <t>How many years did it take to build Notre-Dame de Paris?</t>
        </is>
      </c>
      <c r="F20" s="47" t="n">
        <v>182</v>
      </c>
      <c r="G20" s="45" t="inlineStr">
        <is>
          <t>years</t>
        </is>
      </c>
      <c r="H20" s="43" t="inlineStr">
        <is>
          <t>Hard</t>
        </is>
      </c>
      <c r="I20" s="45" t="inlineStr">
        <is>
          <t>Britannica / national archives</t>
        </is>
      </c>
      <c r="J20" s="43" t="n"/>
      <c r="K20" s="45" t="n"/>
      <c r="L20" s="43">
        <f>COUNTIFS($A$2:$A$1501,A20,$D$2:$D$1501,D20)</f>
        <v/>
      </c>
    </row>
    <row r="21" ht="23.85" customHeight="1" s="26">
      <c r="A21" s="43" t="n">
        <v>4</v>
      </c>
      <c r="B21" s="44" t="n">
        <v>46303</v>
      </c>
      <c r="C21" s="43" t="n">
        <v>5</v>
      </c>
      <c r="D21" s="45" t="inlineStr">
        <is>
          <t>Distance of the Day</t>
        </is>
      </c>
      <c r="E21" s="46" t="inlineStr">
        <is>
          <t>How far is it in a straight line from Reykjavik to Auckland?</t>
        </is>
      </c>
      <c r="F21" s="47" t="n">
        <v>16780</v>
      </c>
      <c r="G21" s="45" t="inlineStr">
        <is>
          <t>km</t>
        </is>
      </c>
      <c r="H21" s="43" t="inlineStr">
        <is>
          <t>Hard</t>
        </is>
      </c>
      <c r="I21" s="45" t="inlineStr">
        <is>
          <t>Computed great-circle distance (city centre to city centre)</t>
        </is>
      </c>
      <c r="J21" s="43" t="n"/>
      <c r="K21" s="45" t="n"/>
      <c r="L21" s="43">
        <f>COUNTIFS($A$2:$A$1501,A21,$D$2:$D$1501,D21)</f>
        <v/>
      </c>
    </row>
    <row r="22" ht="23.85" customHeight="1" s="26">
      <c r="A22" s="35" t="n">
        <v>5</v>
      </c>
      <c r="B22" s="41" t="n">
        <v>46304</v>
      </c>
      <c r="C22" s="35" t="n">
        <v>1</v>
      </c>
      <c r="D22" s="33" t="inlineStr">
        <is>
          <t>Geography</t>
        </is>
      </c>
      <c r="E22" s="36" t="inlineStr">
        <is>
          <t>How tall is the Matterhorn?</t>
        </is>
      </c>
      <c r="F22" s="42" t="n">
        <v>4478</v>
      </c>
      <c r="G22" s="33" t="inlineStr">
        <is>
          <t>metres</t>
        </is>
      </c>
      <c r="H22" s="35" t="inlineStr">
        <is>
          <t>Medium</t>
        </is>
      </c>
      <c r="I22" s="33" t="inlineStr">
        <is>
          <t>Britannica / national survey agencies</t>
        </is>
      </c>
      <c r="J22" s="35" t="n"/>
      <c r="K22" s="33" t="n"/>
      <c r="L22" s="35">
        <f>COUNTIFS($A$2:$A$1501,A22,$D$2:$D$1501,D22)</f>
        <v/>
      </c>
    </row>
    <row r="23" ht="23.85" customHeight="1" s="26">
      <c r="A23" s="35" t="n">
        <v>5</v>
      </c>
      <c r="B23" s="41" t="n">
        <v>46304</v>
      </c>
      <c r="C23" s="35" t="n">
        <v>2</v>
      </c>
      <c r="D23" s="33" t="inlineStr">
        <is>
          <t>Sports</t>
        </is>
      </c>
      <c r="E23" s="36" t="inlineStr">
        <is>
          <t>How heavy is the Stanley Cup?</t>
        </is>
      </c>
      <c r="F23" s="42" t="n">
        <v>15.5</v>
      </c>
      <c r="G23" s="33" t="inlineStr">
        <is>
          <t>kg</t>
        </is>
      </c>
      <c r="H23" s="35" t="inlineStr">
        <is>
          <t>Medium</t>
        </is>
      </c>
      <c r="I23" s="33" t="inlineStr">
        <is>
          <t>Hockey Hall of Fame</t>
        </is>
      </c>
      <c r="J23" s="35" t="n"/>
      <c r="K23" s="33" t="n"/>
      <c r="L23" s="35">
        <f>COUNTIFS($A$2:$A$1501,A23,$D$2:$D$1501,D23)</f>
        <v/>
      </c>
    </row>
    <row r="24" ht="23.85" customHeight="1" s="26">
      <c r="A24" s="35" t="n">
        <v>5</v>
      </c>
      <c r="B24" s="41" t="n">
        <v>46304</v>
      </c>
      <c r="C24" s="35" t="n">
        <v>3</v>
      </c>
      <c r="D24" s="33" t="inlineStr">
        <is>
          <t>Movies, Music and Games</t>
        </is>
      </c>
      <c r="E24" s="36" t="inlineStr">
        <is>
          <t>How many episodes of Friends were made?</t>
        </is>
      </c>
      <c r="F24" s="42" t="n">
        <v>236</v>
      </c>
      <c r="G24" s="33" t="inlineStr">
        <is>
          <t>episodes</t>
        </is>
      </c>
      <c r="H24" s="35" t="inlineStr">
        <is>
          <t>Medium</t>
        </is>
      </c>
      <c r="I24" s="33" t="inlineStr">
        <is>
          <t>IMDb / official records / Guinness World Records</t>
        </is>
      </c>
      <c r="J24" s="35" t="n"/>
      <c r="K24" s="33" t="n"/>
      <c r="L24" s="35">
        <f>COUNTIFS($A$2:$A$1501,A24,$D$2:$D$1501,D24)</f>
        <v/>
      </c>
    </row>
    <row r="25" ht="23.85" customHeight="1" s="26">
      <c r="A25" s="35" t="n">
        <v>5</v>
      </c>
      <c r="B25" s="41" t="n">
        <v>46304</v>
      </c>
      <c r="C25" s="35" t="n">
        <v>4</v>
      </c>
      <c r="D25" s="33" t="inlineStr">
        <is>
          <t>Buildings and Engineering</t>
        </is>
      </c>
      <c r="E25" s="36" t="inlineStr">
        <is>
          <t>How tall is Jinping-I, the world's tallest dam?</t>
        </is>
      </c>
      <c r="F25" s="42" t="n">
        <v>305</v>
      </c>
      <c r="G25" s="33" t="inlineStr">
        <is>
          <t>metres</t>
        </is>
      </c>
      <c r="H25" s="35" t="inlineStr">
        <is>
          <t>Hard</t>
        </is>
      </c>
      <c r="I25" s="33" t="inlineStr">
        <is>
          <t>Official operator sites / CTBUH / Britannica</t>
        </is>
      </c>
      <c r="J25" s="35" t="n"/>
      <c r="K25" s="33" t="n"/>
      <c r="L25" s="35">
        <f>COUNTIFS($A$2:$A$1501,A25,$D$2:$D$1501,D25)</f>
        <v/>
      </c>
    </row>
    <row r="26" ht="23.85" customHeight="1" s="26">
      <c r="A26" s="35" t="n">
        <v>5</v>
      </c>
      <c r="B26" s="41" t="n">
        <v>46304</v>
      </c>
      <c r="C26" s="35" t="n">
        <v>5</v>
      </c>
      <c r="D26" s="33" t="inlineStr">
        <is>
          <t>Distance of the Day</t>
        </is>
      </c>
      <c r="E26" s="36" t="inlineStr">
        <is>
          <t>How far is it in a straight line from Vancouver to Los Angeles?</t>
        </is>
      </c>
      <c r="F26" s="42" t="n">
        <v>1740</v>
      </c>
      <c r="G26" s="33" t="inlineStr">
        <is>
          <t>km</t>
        </is>
      </c>
      <c r="H26" s="35" t="inlineStr">
        <is>
          <t>Medium</t>
        </is>
      </c>
      <c r="I26" s="33" t="inlineStr">
        <is>
          <t>Computed great-circle distance (city centre to city centre)</t>
        </is>
      </c>
      <c r="J26" s="35" t="n"/>
      <c r="K26" s="33" t="n"/>
      <c r="L26" s="35">
        <f>COUNTIFS($A$2:$A$1501,A26,$D$2:$D$1501,D26)</f>
        <v/>
      </c>
    </row>
    <row r="27" ht="23.85" customHeight="1" s="26">
      <c r="A27" s="43" t="n">
        <v>6</v>
      </c>
      <c r="B27" s="44" t="n">
        <v>46305</v>
      </c>
      <c r="C27" s="43" t="n">
        <v>1</v>
      </c>
      <c r="D27" s="45" t="inlineStr">
        <is>
          <t>Space and Science</t>
        </is>
      </c>
      <c r="E27" s="46" t="inlineStr">
        <is>
          <t>How fast does light travel?</t>
        </is>
      </c>
      <c r="F27" s="47" t="n">
        <v>299792</v>
      </c>
      <c r="G27" s="45" t="inlineStr">
        <is>
          <t>km per second</t>
        </is>
      </c>
      <c r="H27" s="43" t="inlineStr">
        <is>
          <t>Medium</t>
        </is>
      </c>
      <c r="I27" s="45" t="inlineStr">
        <is>
          <t>NIST</t>
        </is>
      </c>
      <c r="J27" s="43" t="n"/>
      <c r="K27" s="45" t="n"/>
      <c r="L27" s="43">
        <f>COUNTIFS($A$2:$A$1501,A27,$D$2:$D$1501,D27)</f>
        <v/>
      </c>
    </row>
    <row r="28" ht="23.85" customHeight="1" s="26">
      <c r="A28" s="43" t="n">
        <v>6</v>
      </c>
      <c r="B28" s="44" t="n">
        <v>46305</v>
      </c>
      <c r="C28" s="43" t="n">
        <v>2</v>
      </c>
      <c r="D28" s="45" t="inlineStr">
        <is>
          <t>Canada</t>
        </is>
      </c>
      <c r="E28" s="46" t="inlineStr">
        <is>
          <t>How big is Lake Ontario?</t>
        </is>
      </c>
      <c r="F28" s="47" t="n">
        <v>18960</v>
      </c>
      <c r="G28" s="45" t="inlineStr">
        <is>
          <t>km²</t>
        </is>
      </c>
      <c r="H28" s="43" t="inlineStr">
        <is>
          <t>Medium</t>
        </is>
      </c>
      <c r="I28" s="45" t="inlineStr">
        <is>
          <t>Natural Resources Canada / Statistics Canada / Parks Canada</t>
        </is>
      </c>
      <c r="J28" s="43" t="n"/>
      <c r="K28" s="45" t="n"/>
      <c r="L28" s="43">
        <f>COUNTIFS($A$2:$A$1501,A28,$D$2:$D$1501,D28)</f>
        <v/>
      </c>
    </row>
    <row r="29" ht="23.85" customHeight="1" s="26">
      <c r="A29" s="43" t="n">
        <v>6</v>
      </c>
      <c r="B29" s="44" t="n">
        <v>46305</v>
      </c>
      <c r="C29" s="43" t="n">
        <v>3</v>
      </c>
      <c r="D29" s="45" t="inlineStr">
        <is>
          <t>Human Body</t>
        </is>
      </c>
      <c r="E29" s="46" t="inlineStr">
        <is>
          <t>How many muscles are in the human face?</t>
        </is>
      </c>
      <c r="F29" s="47" t="n">
        <v>43</v>
      </c>
      <c r="G29" s="45" t="inlineStr">
        <is>
          <t>muscles</t>
        </is>
      </c>
      <c r="H29" s="43" t="inlineStr">
        <is>
          <t>Medium</t>
        </is>
      </c>
      <c r="I29" s="45" t="inlineStr">
        <is>
          <t>Cleveland Clinic / NIH / Guinness World Records</t>
        </is>
      </c>
      <c r="J29" s="43" t="n"/>
      <c r="K29" s="45" t="n"/>
      <c r="L29" s="43">
        <f>COUNTIFS($A$2:$A$1501,A29,$D$2:$D$1501,D29)</f>
        <v/>
      </c>
    </row>
    <row r="30" ht="23.85" customHeight="1" s="26">
      <c r="A30" s="43" t="n">
        <v>6</v>
      </c>
      <c r="B30" s="44" t="n">
        <v>46305</v>
      </c>
      <c r="C30" s="43" t="n">
        <v>4</v>
      </c>
      <c r="D30" s="45" t="inlineStr">
        <is>
          <t>Animals and Nature</t>
        </is>
      </c>
      <c r="E30" s="46" t="inlineStr">
        <is>
          <t>How loud can a blue whale's call be?</t>
        </is>
      </c>
      <c r="F30" s="47" t="n">
        <v>188</v>
      </c>
      <c r="G30" s="45" t="inlineStr">
        <is>
          <t>decibels</t>
        </is>
      </c>
      <c r="H30" s="43" t="inlineStr">
        <is>
          <t>Hard</t>
        </is>
      </c>
      <c r="I30" s="45" t="inlineStr">
        <is>
          <t>Britannica / National Geographic / Guinness World Records</t>
        </is>
      </c>
      <c r="J30" s="43" t="n"/>
      <c r="K30" s="45" t="n"/>
      <c r="L30" s="43">
        <f>COUNTIFS($A$2:$A$1501,A30,$D$2:$D$1501,D30)</f>
        <v/>
      </c>
    </row>
    <row r="31" ht="23.85" customHeight="1" s="26">
      <c r="A31" s="43" t="n">
        <v>6</v>
      </c>
      <c r="B31" s="44" t="n">
        <v>46305</v>
      </c>
      <c r="C31" s="43" t="n">
        <v>5</v>
      </c>
      <c r="D31" s="45" t="inlineStr">
        <is>
          <t>Distance of the Day</t>
        </is>
      </c>
      <c r="E31" s="46" t="inlineStr">
        <is>
          <t>How far is it in a straight line from Madrid to Bangkok?</t>
        </is>
      </c>
      <c r="F31" s="47" t="n">
        <v>10180</v>
      </c>
      <c r="G31" s="45" t="inlineStr">
        <is>
          <t>km</t>
        </is>
      </c>
      <c r="H31" s="43" t="inlineStr">
        <is>
          <t>Hard</t>
        </is>
      </c>
      <c r="I31" s="45" t="inlineStr">
        <is>
          <t>Computed great-circle distance (city centre to city centre)</t>
        </is>
      </c>
      <c r="J31" s="43" t="n"/>
      <c r="K31" s="45" t="n"/>
      <c r="L31" s="43">
        <f>COUNTIFS($A$2:$A$1501,A31,$D$2:$D$1501,D31)</f>
        <v/>
      </c>
    </row>
    <row r="32" ht="23.85" customHeight="1" s="26">
      <c r="A32" s="35" t="n">
        <v>7</v>
      </c>
      <c r="B32" s="41" t="n">
        <v>46306</v>
      </c>
      <c r="C32" s="35" t="n">
        <v>1</v>
      </c>
      <c r="D32" s="33" t="inlineStr">
        <is>
          <t>Buildings and Engineering</t>
        </is>
      </c>
      <c r="E32" s="36" t="inlineStr">
        <is>
          <t>How tall are the presidents' faces on Mount Rushmore?</t>
        </is>
      </c>
      <c r="F32" s="42" t="n">
        <v>18</v>
      </c>
      <c r="G32" s="33" t="inlineStr">
        <is>
          <t>metres</t>
        </is>
      </c>
      <c r="H32" s="35" t="inlineStr">
        <is>
          <t>Medium</t>
        </is>
      </c>
      <c r="I32" s="33" t="inlineStr">
        <is>
          <t>US National Park Service</t>
        </is>
      </c>
      <c r="J32" s="35" t="n"/>
      <c r="K32" s="33" t="n"/>
      <c r="L32" s="35">
        <f>COUNTIFS($A$2:$A$1501,A32,$D$2:$D$1501,D32)</f>
        <v/>
      </c>
    </row>
    <row r="33" ht="23.85" customHeight="1" s="26">
      <c r="A33" s="35" t="n">
        <v>7</v>
      </c>
      <c r="B33" s="41" t="n">
        <v>46306</v>
      </c>
      <c r="C33" s="35" t="n">
        <v>2</v>
      </c>
      <c r="D33" s="33" t="inlineStr">
        <is>
          <t>Sports</t>
        </is>
      </c>
      <c r="E33" s="36" t="inlineStr">
        <is>
          <t>How many career home runs did Hank Aaron hit?</t>
        </is>
      </c>
      <c r="F33" s="42" t="n">
        <v>755</v>
      </c>
      <c r="G33" s="33" t="inlineStr">
        <is>
          <t>home runs</t>
        </is>
      </c>
      <c r="H33" s="35" t="inlineStr">
        <is>
          <t>Medium</t>
        </is>
      </c>
      <c r="I33" s="33" t="inlineStr">
        <is>
          <t>MLB.com</t>
        </is>
      </c>
      <c r="J33" s="35" t="n"/>
      <c r="K33" s="33" t="n"/>
      <c r="L33" s="35">
        <f>COUNTIFS($A$2:$A$1501,A33,$D$2:$D$1501,D33)</f>
        <v/>
      </c>
    </row>
    <row r="34" ht="23.85" customHeight="1" s="26">
      <c r="A34" s="35" t="n">
        <v>7</v>
      </c>
      <c r="B34" s="41" t="n">
        <v>46306</v>
      </c>
      <c r="C34" s="35" t="n">
        <v>3</v>
      </c>
      <c r="D34" s="33" t="inlineStr">
        <is>
          <t>Movies, Music and Games</t>
        </is>
      </c>
      <c r="E34" s="36" t="inlineStr">
        <is>
          <t>How long is Queen's Bohemian Rhapsody?</t>
        </is>
      </c>
      <c r="F34" s="42" t="n">
        <v>354</v>
      </c>
      <c r="G34" s="33" t="inlineStr">
        <is>
          <t>seconds</t>
        </is>
      </c>
      <c r="H34" s="35" t="inlineStr">
        <is>
          <t>Medium</t>
        </is>
      </c>
      <c r="I34" s="33" t="inlineStr">
        <is>
          <t>IMDb / official records / Guinness World Records</t>
        </is>
      </c>
      <c r="J34" s="35" t="n"/>
      <c r="K34" s="33" t="n"/>
      <c r="L34" s="35">
        <f>COUNTIFS($A$2:$A$1501,A34,$D$2:$D$1501,D34)</f>
        <v/>
      </c>
    </row>
    <row r="35" ht="23.85" customHeight="1" s="26">
      <c r="A35" s="35" t="n">
        <v>7</v>
      </c>
      <c r="B35" s="41" t="n">
        <v>46306</v>
      </c>
      <c r="C35" s="35" t="n">
        <v>4</v>
      </c>
      <c r="D35" s="33" t="inlineStr">
        <is>
          <t>Geography</t>
        </is>
      </c>
      <c r="E35" s="36" t="inlineStr">
        <is>
          <t>How tall is Mauna Kea, measured from its base on the ocean floor?</t>
        </is>
      </c>
      <c r="F35" s="42" t="n">
        <v>10210</v>
      </c>
      <c r="G35" s="33" t="inlineStr">
        <is>
          <t>metres</t>
        </is>
      </c>
      <c r="H35" s="35" t="inlineStr">
        <is>
          <t>Hard</t>
        </is>
      </c>
      <c r="I35" s="33" t="inlineStr">
        <is>
          <t>USGS</t>
        </is>
      </c>
      <c r="J35" s="35" t="n"/>
      <c r="K35" s="33" t="n"/>
      <c r="L35" s="35">
        <f>COUNTIFS($A$2:$A$1501,A35,$D$2:$D$1501,D35)</f>
        <v/>
      </c>
    </row>
    <row r="36" ht="23.85" customHeight="1" s="26">
      <c r="A36" s="35" t="n">
        <v>7</v>
      </c>
      <c r="B36" s="41" t="n">
        <v>46306</v>
      </c>
      <c r="C36" s="35" t="n">
        <v>5</v>
      </c>
      <c r="D36" s="33" t="inlineStr">
        <is>
          <t>Distance of the Day</t>
        </is>
      </c>
      <c r="E36" s="36" t="inlineStr">
        <is>
          <t>How far is it in a straight line from St. John's to Paris?</t>
        </is>
      </c>
      <c r="F36" s="42" t="n">
        <v>3990</v>
      </c>
      <c r="G36" s="33" t="inlineStr">
        <is>
          <t>km</t>
        </is>
      </c>
      <c r="H36" s="35" t="inlineStr">
        <is>
          <t>Medium</t>
        </is>
      </c>
      <c r="I36" s="33" t="inlineStr">
        <is>
          <t>Computed great-circle distance (city centre to city centre)</t>
        </is>
      </c>
      <c r="J36" s="35" t="n"/>
      <c r="K36" s="33" t="n"/>
      <c r="L36" s="35">
        <f>COUNTIFS($A$2:$A$1501,A36,$D$2:$D$1501,D36)</f>
        <v/>
      </c>
    </row>
    <row r="37" ht="23.85" customHeight="1" s="26">
      <c r="A37" s="43" t="n">
        <v>8</v>
      </c>
      <c r="B37" s="44" t="n">
        <v>46307</v>
      </c>
      <c r="C37" s="43" t="n">
        <v>1</v>
      </c>
      <c r="D37" s="45" t="inlineStr">
        <is>
          <t>Canada</t>
        </is>
      </c>
      <c r="E37" s="46" t="inlineStr">
        <is>
          <t>How long is the Confederation Bridge to Prince Edward Island?</t>
        </is>
      </c>
      <c r="F37" s="47" t="n">
        <v>12.9</v>
      </c>
      <c r="G37" s="45" t="inlineStr">
        <is>
          <t>km</t>
        </is>
      </c>
      <c r="H37" s="43" t="inlineStr">
        <is>
          <t>Medium</t>
        </is>
      </c>
      <c r="I37" s="45" t="inlineStr">
        <is>
          <t>Confederation Bridge</t>
        </is>
      </c>
      <c r="J37" s="43" t="n"/>
      <c r="K37" s="45" t="n"/>
      <c r="L37" s="43">
        <f>COUNTIFS($A$2:$A$1501,A37,$D$2:$D$1501,D37)</f>
        <v/>
      </c>
    </row>
    <row r="38" ht="23.85" customHeight="1" s="26">
      <c r="A38" s="43" t="n">
        <v>8</v>
      </c>
      <c r="B38" s="44" t="n">
        <v>46307</v>
      </c>
      <c r="C38" s="43" t="n">
        <v>2</v>
      </c>
      <c r="D38" s="45" t="inlineStr">
        <is>
          <t>Space and Science</t>
        </is>
      </c>
      <c r="E38" s="46" t="inlineStr">
        <is>
          <t>How far does light travel in one year?</t>
        </is>
      </c>
      <c r="F38" s="47" t="n">
        <v>9.460000000000001</v>
      </c>
      <c r="G38" s="45" t="inlineStr">
        <is>
          <t>trillion km</t>
        </is>
      </c>
      <c r="H38" s="43" t="inlineStr">
        <is>
          <t>Hard</t>
        </is>
      </c>
      <c r="I38" s="45" t="inlineStr">
        <is>
          <t>NASA / IAU / CRC Handbook</t>
        </is>
      </c>
      <c r="J38" s="43" t="n"/>
      <c r="K38" s="45" t="n"/>
      <c r="L38" s="43">
        <f>COUNTIFS($A$2:$A$1501,A38,$D$2:$D$1501,D38)</f>
        <v/>
      </c>
    </row>
    <row r="39" ht="23.85" customHeight="1" s="26">
      <c r="A39" s="43" t="n">
        <v>8</v>
      </c>
      <c r="B39" s="44" t="n">
        <v>46307</v>
      </c>
      <c r="C39" s="43" t="n">
        <v>3</v>
      </c>
      <c r="D39" s="45" t="inlineStr">
        <is>
          <t>Animals and Nature</t>
        </is>
      </c>
      <c r="E39" s="46" t="inlineStr">
        <is>
          <t>How fast can a peregrine falcon dive?</t>
        </is>
      </c>
      <c r="F39" s="47" t="n">
        <v>389</v>
      </c>
      <c r="G39" s="45" t="inlineStr">
        <is>
          <t>km/h</t>
        </is>
      </c>
      <c r="H39" s="43" t="inlineStr">
        <is>
          <t>Hard</t>
        </is>
      </c>
      <c r="I39" s="45" t="inlineStr">
        <is>
          <t>Britannica / National Geographic / Guinness World Records</t>
        </is>
      </c>
      <c r="J39" s="43" t="n"/>
      <c r="K39" s="45" t="n"/>
      <c r="L39" s="43">
        <f>COUNTIFS($A$2:$A$1501,A39,$D$2:$D$1501,D39)</f>
        <v/>
      </c>
    </row>
    <row r="40" ht="23.85" customHeight="1" s="26">
      <c r="A40" s="43" t="n">
        <v>8</v>
      </c>
      <c r="B40" s="44" t="n">
        <v>46307</v>
      </c>
      <c r="C40" s="43" t="n">
        <v>4</v>
      </c>
      <c r="D40" s="45" t="inlineStr">
        <is>
          <t>History</t>
        </is>
      </c>
      <c r="E40" s="46" t="inlineStr">
        <is>
          <t>How many Allied troops landed in Normandy on D-Day?</t>
        </is>
      </c>
      <c r="F40" s="47" t="n">
        <v>156000</v>
      </c>
      <c r="G40" s="45" t="inlineStr">
        <is>
          <t>troops</t>
        </is>
      </c>
      <c r="H40" s="43" t="inlineStr">
        <is>
          <t>Hard</t>
        </is>
      </c>
      <c r="I40" s="45" t="inlineStr">
        <is>
          <t>The National WWII Museum</t>
        </is>
      </c>
      <c r="J40" s="43" t="n"/>
      <c r="K40" s="45" t="n"/>
      <c r="L40" s="43">
        <f>COUNTIFS($A$2:$A$1501,A40,$D$2:$D$1501,D40)</f>
        <v/>
      </c>
    </row>
    <row r="41" ht="23.85" customHeight="1" s="26">
      <c r="A41" s="43" t="n">
        <v>8</v>
      </c>
      <c r="B41" s="44" t="n">
        <v>46307</v>
      </c>
      <c r="C41" s="43" t="n">
        <v>5</v>
      </c>
      <c r="D41" s="45" t="inlineStr">
        <is>
          <t>Distance of the Day</t>
        </is>
      </c>
      <c r="E41" s="46" t="inlineStr">
        <is>
          <t>How far is it in a straight line from Miami to Auckland?</t>
        </is>
      </c>
      <c r="F41" s="47" t="n">
        <v>12970</v>
      </c>
      <c r="G41" s="45" t="inlineStr">
        <is>
          <t>km</t>
        </is>
      </c>
      <c r="H41" s="43" t="inlineStr">
        <is>
          <t>Hard</t>
        </is>
      </c>
      <c r="I41" s="45" t="inlineStr">
        <is>
          <t>Computed great-circle distance (city centre to city centre)</t>
        </is>
      </c>
      <c r="J41" s="43" t="n"/>
      <c r="K41" s="45" t="n"/>
      <c r="L41" s="43">
        <f>COUNTIFS($A$2:$A$1501,A41,$D$2:$D$1501,D41)</f>
        <v/>
      </c>
    </row>
    <row r="42" ht="23.85" customHeight="1" s="26">
      <c r="A42" s="35" t="n">
        <v>9</v>
      </c>
      <c r="B42" s="41" t="n">
        <v>46308</v>
      </c>
      <c r="C42" s="35" t="n">
        <v>1</v>
      </c>
      <c r="D42" s="33" t="inlineStr">
        <is>
          <t>Movies, Music and Games</t>
        </is>
      </c>
      <c r="E42" s="36" t="inlineStr">
        <is>
          <t>How many keys are on a standard piano?</t>
        </is>
      </c>
      <c r="F42" s="42" t="n">
        <v>88</v>
      </c>
      <c r="G42" s="33" t="inlineStr">
        <is>
          <t>keys</t>
        </is>
      </c>
      <c r="H42" s="35" t="inlineStr">
        <is>
          <t>Easy</t>
        </is>
      </c>
      <c r="I42" s="33" t="inlineStr">
        <is>
          <t>IMDb / official records / Guinness World Records</t>
        </is>
      </c>
      <c r="J42" s="35" t="n"/>
      <c r="K42" s="33" t="n"/>
      <c r="L42" s="35">
        <f>COUNTIFS($A$2:$A$1501,A42,$D$2:$D$1501,D42)</f>
        <v/>
      </c>
    </row>
    <row r="43" ht="23.85" customHeight="1" s="26">
      <c r="A43" s="35" t="n">
        <v>9</v>
      </c>
      <c r="B43" s="41" t="n">
        <v>46308</v>
      </c>
      <c r="C43" s="35" t="n">
        <v>2</v>
      </c>
      <c r="D43" s="33" t="inlineStr">
        <is>
          <t>Geography</t>
        </is>
      </c>
      <c r="E43" s="36" t="inlineStr">
        <is>
          <t>How tall is Angel Falls in Venezuela, the world's tallest waterfall?</t>
        </is>
      </c>
      <c r="F43" s="42" t="n">
        <v>979</v>
      </c>
      <c r="G43" s="33" t="inlineStr">
        <is>
          <t>metres</t>
        </is>
      </c>
      <c r="H43" s="35" t="inlineStr">
        <is>
          <t>Medium</t>
        </is>
      </c>
      <c r="I43" s="33" t="inlineStr">
        <is>
          <t>Britannica / national survey agencies</t>
        </is>
      </c>
      <c r="J43" s="35" t="n"/>
      <c r="K43" s="33" t="n"/>
      <c r="L43" s="35">
        <f>COUNTIFS($A$2:$A$1501,A43,$D$2:$D$1501,D43)</f>
        <v/>
      </c>
    </row>
    <row r="44" ht="23.85" customHeight="1" s="26">
      <c r="A44" s="35" t="n">
        <v>9</v>
      </c>
      <c r="B44" s="41" t="n">
        <v>46308</v>
      </c>
      <c r="C44" s="35" t="n">
        <v>3</v>
      </c>
      <c r="D44" s="33" t="inlineStr">
        <is>
          <t>Buildings and Engineering</t>
        </is>
      </c>
      <c r="E44" s="36" t="inlineStr">
        <is>
          <t>How tall is the Statue of Liberty, from the ground to the tip of the torch?</t>
        </is>
      </c>
      <c r="F44" s="42" t="n">
        <v>93</v>
      </c>
      <c r="G44" s="33" t="inlineStr">
        <is>
          <t>metres</t>
        </is>
      </c>
      <c r="H44" s="35" t="inlineStr">
        <is>
          <t>Medium</t>
        </is>
      </c>
      <c r="I44" s="33" t="inlineStr">
        <is>
          <t>US National Park Service</t>
        </is>
      </c>
      <c r="J44" s="35" t="n"/>
      <c r="K44" s="33" t="n"/>
      <c r="L44" s="35">
        <f>COUNTIFS($A$2:$A$1501,A44,$D$2:$D$1501,D44)</f>
        <v/>
      </c>
    </row>
    <row r="45" ht="23.85" customHeight="1" s="26">
      <c r="A45" s="35" t="n">
        <v>9</v>
      </c>
      <c r="B45" s="41" t="n">
        <v>46308</v>
      </c>
      <c r="C45" s="35" t="n">
        <v>4</v>
      </c>
      <c r="D45" s="33" t="inlineStr">
        <is>
          <t>Sports</t>
        </is>
      </c>
      <c r="E45" s="36" t="inlineStr">
        <is>
          <t>How many points did Bobby Orr score in the 1970-71 season, a record for a defenceman?</t>
        </is>
      </c>
      <c r="F45" s="42" t="n">
        <v>139</v>
      </c>
      <c r="G45" s="33" t="inlineStr">
        <is>
          <t>points</t>
        </is>
      </c>
      <c r="H45" s="35" t="inlineStr">
        <is>
          <t>Hard</t>
        </is>
      </c>
      <c r="I45" s="33" t="inlineStr">
        <is>
          <t>NHL Records</t>
        </is>
      </c>
      <c r="J45" s="35" t="n"/>
      <c r="K45" s="33" t="n"/>
      <c r="L45" s="35">
        <f>COUNTIFS($A$2:$A$1501,A45,$D$2:$D$1501,D45)</f>
        <v/>
      </c>
    </row>
    <row r="46" ht="23.85" customHeight="1" s="26">
      <c r="A46" s="35" t="n">
        <v>9</v>
      </c>
      <c r="B46" s="41" t="n">
        <v>46308</v>
      </c>
      <c r="C46" s="35" t="n">
        <v>5</v>
      </c>
      <c r="D46" s="33" t="inlineStr">
        <is>
          <t>Distance of the Day</t>
        </is>
      </c>
      <c r="E46" s="36" t="inlineStr">
        <is>
          <t>How far is it in a straight line from Edmonton to Cape Town?</t>
        </is>
      </c>
      <c r="F46" s="42" t="n">
        <v>15690</v>
      </c>
      <c r="G46" s="33" t="inlineStr">
        <is>
          <t>km</t>
        </is>
      </c>
      <c r="H46" s="35" t="inlineStr">
        <is>
          <t>Hard</t>
        </is>
      </c>
      <c r="I46" s="33" t="inlineStr">
        <is>
          <t>Computed great-circle distance (city centre to city centre)</t>
        </is>
      </c>
      <c r="J46" s="35" t="n"/>
      <c r="K46" s="33" t="n"/>
      <c r="L46" s="35">
        <f>COUNTIFS($A$2:$A$1501,A46,$D$2:$D$1501,D46)</f>
        <v/>
      </c>
    </row>
    <row r="47" ht="23.85" customHeight="1" s="26">
      <c r="A47" s="43" t="n">
        <v>10</v>
      </c>
      <c r="B47" s="44" t="n">
        <v>46309</v>
      </c>
      <c r="C47" s="43" t="n">
        <v>1</v>
      </c>
      <c r="D47" s="45" t="inlineStr">
        <is>
          <t>Human Body</t>
        </is>
      </c>
      <c r="E47" s="46" t="inlineStr">
        <is>
          <t>How old was Jeanne Calment, the oldest person ever verified?</t>
        </is>
      </c>
      <c r="F47" s="47" t="n">
        <v>122</v>
      </c>
      <c r="G47" s="45" t="inlineStr">
        <is>
          <t>years</t>
        </is>
      </c>
      <c r="H47" s="43" t="inlineStr">
        <is>
          <t>Easy</t>
        </is>
      </c>
      <c r="I47" s="45" t="inlineStr">
        <is>
          <t>Guinness World Records</t>
        </is>
      </c>
      <c r="J47" s="43" t="n"/>
      <c r="K47" s="45" t="n"/>
      <c r="L47" s="43">
        <f>COUNTIFS($A$2:$A$1501,A47,$D$2:$D$1501,D47)</f>
        <v/>
      </c>
    </row>
    <row r="48" ht="23.85" customHeight="1" s="26">
      <c r="A48" s="43" t="n">
        <v>10</v>
      </c>
      <c r="B48" s="44" t="n">
        <v>46309</v>
      </c>
      <c r="C48" s="43" t="n">
        <v>2</v>
      </c>
      <c r="D48" s="45" t="inlineStr">
        <is>
          <t>History</t>
        </is>
      </c>
      <c r="E48" s="46" t="inlineStr">
        <is>
          <t>How many years did Louis XIV reign as King of France, the longest of any European monarch?</t>
        </is>
      </c>
      <c r="F48" s="47" t="n">
        <v>72</v>
      </c>
      <c r="G48" s="45" t="inlineStr">
        <is>
          <t>years</t>
        </is>
      </c>
      <c r="H48" s="43" t="inlineStr">
        <is>
          <t>Medium</t>
        </is>
      </c>
      <c r="I48" s="45" t="inlineStr">
        <is>
          <t>Britannica / national archives</t>
        </is>
      </c>
      <c r="J48" s="43" t="n"/>
      <c r="K48" s="45" t="n"/>
      <c r="L48" s="43">
        <f>COUNTIFS($A$2:$A$1501,A48,$D$2:$D$1501,D48)</f>
        <v/>
      </c>
    </row>
    <row r="49" ht="23.85" customHeight="1" s="26">
      <c r="A49" s="43" t="n">
        <v>10</v>
      </c>
      <c r="B49" s="44" t="n">
        <v>46309</v>
      </c>
      <c r="C49" s="43" t="n">
        <v>3</v>
      </c>
      <c r="D49" s="45" t="inlineStr">
        <is>
          <t>Space and Science</t>
        </is>
      </c>
      <c r="E49" s="46" t="inlineStr">
        <is>
          <t>How many hours did Apollo 11's lunar module spend on the Moon's surface?</t>
        </is>
      </c>
      <c r="F49" s="47" t="n">
        <v>21.6</v>
      </c>
      <c r="G49" s="45" t="inlineStr">
        <is>
          <t>hours</t>
        </is>
      </c>
      <c r="H49" s="43" t="inlineStr">
        <is>
          <t>Hard</t>
        </is>
      </c>
      <c r="I49" s="45" t="inlineStr">
        <is>
          <t>NASA</t>
        </is>
      </c>
      <c r="J49" s="43" t="n"/>
      <c r="K49" s="45" t="n"/>
      <c r="L49" s="43">
        <f>COUNTIFS($A$2:$A$1501,A49,$D$2:$D$1501,D49)</f>
        <v/>
      </c>
    </row>
    <row r="50" ht="23.85" customHeight="1" s="26">
      <c r="A50" s="43" t="n">
        <v>10</v>
      </c>
      <c r="B50" s="44" t="n">
        <v>46309</v>
      </c>
      <c r="C50" s="43" t="n">
        <v>4</v>
      </c>
      <c r="D50" s="45" t="inlineStr">
        <is>
          <t>Animals and Nature</t>
        </is>
      </c>
      <c r="E50" s="46" t="inlineStr">
        <is>
          <t>How much food does an adult elephant eat in a day?</t>
        </is>
      </c>
      <c r="F50" s="47" t="n">
        <v>150</v>
      </c>
      <c r="G50" s="45" t="inlineStr">
        <is>
          <t>kg</t>
        </is>
      </c>
      <c r="H50" s="43" t="inlineStr">
        <is>
          <t>Hard</t>
        </is>
      </c>
      <c r="I50" s="45" t="inlineStr">
        <is>
          <t>Britannica / National Geographic / Guinness World Records</t>
        </is>
      </c>
      <c r="J50" s="43" t="n"/>
      <c r="K50" s="45" t="n"/>
      <c r="L50" s="43">
        <f>COUNTIFS($A$2:$A$1501,A50,$D$2:$D$1501,D50)</f>
        <v/>
      </c>
    </row>
    <row r="51" ht="23.85" customHeight="1" s="26">
      <c r="A51" s="43" t="n">
        <v>10</v>
      </c>
      <c r="B51" s="44" t="n">
        <v>46309</v>
      </c>
      <c r="C51" s="43" t="n">
        <v>5</v>
      </c>
      <c r="D51" s="45" t="inlineStr">
        <is>
          <t>Distance of the Day</t>
        </is>
      </c>
      <c r="E51" s="46" t="inlineStr">
        <is>
          <t>How far is it in a straight line from Miami to Mexico City?</t>
        </is>
      </c>
      <c r="F51" s="47" t="n">
        <v>2070</v>
      </c>
      <c r="G51" s="45" t="inlineStr">
        <is>
          <t>km</t>
        </is>
      </c>
      <c r="H51" s="43" t="inlineStr">
        <is>
          <t>Medium</t>
        </is>
      </c>
      <c r="I51" s="45" t="inlineStr">
        <is>
          <t>Computed great-circle distance (city centre to city centre)</t>
        </is>
      </c>
      <c r="J51" s="43" t="n"/>
      <c r="K51" s="45" t="n"/>
      <c r="L51" s="43">
        <f>COUNTIFS($A$2:$A$1501,A51,$D$2:$D$1501,D51)</f>
        <v/>
      </c>
    </row>
    <row r="52" ht="23.85" customHeight="1" s="26">
      <c r="A52" s="35" t="n">
        <v>11</v>
      </c>
      <c r="B52" s="41" t="n">
        <v>46310</v>
      </c>
      <c r="C52" s="35" t="n">
        <v>1</v>
      </c>
      <c r="D52" s="33" t="inlineStr">
        <is>
          <t>Sports</t>
        </is>
      </c>
      <c r="E52" s="36" t="inlineStr">
        <is>
          <t>How many points did Kobe Bryant score in his highest-scoring NBA game?</t>
        </is>
      </c>
      <c r="F52" s="42" t="n">
        <v>81</v>
      </c>
      <c r="G52" s="33" t="inlineStr">
        <is>
          <t>points</t>
        </is>
      </c>
      <c r="H52" s="35" t="inlineStr">
        <is>
          <t>Easy</t>
        </is>
      </c>
      <c r="I52" s="33" t="inlineStr">
        <is>
          <t>NBA.com</t>
        </is>
      </c>
      <c r="J52" s="35" t="n"/>
      <c r="K52" s="33" t="n"/>
      <c r="L52" s="35">
        <f>COUNTIFS($A$2:$A$1501,A52,$D$2:$D$1501,D52)</f>
        <v/>
      </c>
    </row>
    <row r="53" ht="23.85" customHeight="1" s="26">
      <c r="A53" s="35" t="n">
        <v>11</v>
      </c>
      <c r="B53" s="41" t="n">
        <v>46310</v>
      </c>
      <c r="C53" s="35" t="n">
        <v>2</v>
      </c>
      <c r="D53" s="33" t="inlineStr">
        <is>
          <t>Geography</t>
        </is>
      </c>
      <c r="E53" s="36" t="inlineStr">
        <is>
          <t>How long is the Rhine River?</t>
        </is>
      </c>
      <c r="F53" s="42" t="n">
        <v>1230</v>
      </c>
      <c r="G53" s="33" t="inlineStr">
        <is>
          <t>km</t>
        </is>
      </c>
      <c r="H53" s="35" t="inlineStr">
        <is>
          <t>Medium</t>
        </is>
      </c>
      <c r="I53" s="33" t="inlineStr">
        <is>
          <t>Britannica / national survey agencies</t>
        </is>
      </c>
      <c r="J53" s="35" t="n"/>
      <c r="K53" s="33" t="n"/>
      <c r="L53" s="35">
        <f>COUNTIFS($A$2:$A$1501,A53,$D$2:$D$1501,D53)</f>
        <v/>
      </c>
    </row>
    <row r="54" ht="23.85" customHeight="1" s="26">
      <c r="A54" s="35" t="n">
        <v>11</v>
      </c>
      <c r="B54" s="41" t="n">
        <v>46310</v>
      </c>
      <c r="C54" s="35" t="n">
        <v>3</v>
      </c>
      <c r="D54" s="33" t="inlineStr">
        <is>
          <t>Buildings and Engineering</t>
        </is>
      </c>
      <c r="E54" s="36" t="inlineStr">
        <is>
          <t>How tall are the Petronas Towers in Kuala Lumpur?</t>
        </is>
      </c>
      <c r="F54" s="42" t="n">
        <v>452</v>
      </c>
      <c r="G54" s="33" t="inlineStr">
        <is>
          <t>metres</t>
        </is>
      </c>
      <c r="H54" s="35" t="inlineStr">
        <is>
          <t>Medium</t>
        </is>
      </c>
      <c r="I54" s="33" t="inlineStr">
        <is>
          <t>CTBUH</t>
        </is>
      </c>
      <c r="J54" s="35" t="n"/>
      <c r="K54" s="33" t="n"/>
      <c r="L54" s="35">
        <f>COUNTIFS($A$2:$A$1501,A54,$D$2:$D$1501,D54)</f>
        <v/>
      </c>
    </row>
    <row r="55" ht="23.85" customHeight="1" s="26">
      <c r="A55" s="35" t="n">
        <v>11</v>
      </c>
      <c r="B55" s="41" t="n">
        <v>46310</v>
      </c>
      <c r="C55" s="35" t="n">
        <v>4</v>
      </c>
      <c r="D55" s="33" t="inlineStr">
        <is>
          <t>Movies, Music and Games</t>
        </is>
      </c>
      <c r="E55" s="36" t="inlineStr">
        <is>
          <t>How long is the original Toy Story?</t>
        </is>
      </c>
      <c r="F55" s="42" t="n">
        <v>81</v>
      </c>
      <c r="G55" s="33" t="inlineStr">
        <is>
          <t>minutes</t>
        </is>
      </c>
      <c r="H55" s="35" t="inlineStr">
        <is>
          <t>Medium</t>
        </is>
      </c>
      <c r="I55" s="33" t="inlineStr">
        <is>
          <t>IMDb</t>
        </is>
      </c>
      <c r="J55" s="35" t="n"/>
      <c r="K55" s="33" t="n"/>
      <c r="L55" s="35">
        <f>COUNTIFS($A$2:$A$1501,A55,$D$2:$D$1501,D55)</f>
        <v/>
      </c>
    </row>
    <row r="56" ht="23.85" customHeight="1" s="26">
      <c r="A56" s="35" t="n">
        <v>11</v>
      </c>
      <c r="B56" s="41" t="n">
        <v>46310</v>
      </c>
      <c r="C56" s="35" t="n">
        <v>5</v>
      </c>
      <c r="D56" s="33" t="inlineStr">
        <is>
          <t>Distance of the Day</t>
        </is>
      </c>
      <c r="E56" s="36" t="inlineStr">
        <is>
          <t>How far is it in a straight line from Edmonton to Tokyo?</t>
        </is>
      </c>
      <c r="F56" s="42" t="n">
        <v>7870</v>
      </c>
      <c r="G56" s="33" t="inlineStr">
        <is>
          <t>km</t>
        </is>
      </c>
      <c r="H56" s="35" t="inlineStr">
        <is>
          <t>Medium</t>
        </is>
      </c>
      <c r="I56" s="33" t="inlineStr">
        <is>
          <t>Computed great-circle distance (city centre to city centre)</t>
        </is>
      </c>
      <c r="J56" s="35" t="n"/>
      <c r="K56" s="33" t="n"/>
      <c r="L56" s="35">
        <f>COUNTIFS($A$2:$A$1501,A56,$D$2:$D$1501,D56)</f>
        <v/>
      </c>
    </row>
    <row r="57" ht="23.85" customHeight="1" s="26">
      <c r="A57" s="43" t="n">
        <v>12</v>
      </c>
      <c r="B57" s="44" t="n">
        <v>46311</v>
      </c>
      <c r="C57" s="43" t="n">
        <v>1</v>
      </c>
      <c r="D57" s="45" t="inlineStr">
        <is>
          <t>Space and Science</t>
        </is>
      </c>
      <c r="E57" s="46" t="inlineStr">
        <is>
          <t>How old is the universe?</t>
        </is>
      </c>
      <c r="F57" s="47" t="n">
        <v>13.8</v>
      </c>
      <c r="G57" s="45" t="inlineStr">
        <is>
          <t>billion years</t>
        </is>
      </c>
      <c r="H57" s="43" t="inlineStr">
        <is>
          <t>Medium</t>
        </is>
      </c>
      <c r="I57" s="45" t="inlineStr">
        <is>
          <t>NASA / Planck</t>
        </is>
      </c>
      <c r="J57" s="43" t="n"/>
      <c r="K57" s="45" t="n"/>
      <c r="L57" s="43">
        <f>COUNTIFS($A$2:$A$1501,A57,$D$2:$D$1501,D57)</f>
        <v/>
      </c>
    </row>
    <row r="58" ht="23.85" customHeight="1" s="26">
      <c r="A58" s="43" t="n">
        <v>12</v>
      </c>
      <c r="B58" s="44" t="n">
        <v>46311</v>
      </c>
      <c r="C58" s="43" t="n">
        <v>2</v>
      </c>
      <c r="D58" s="45" t="inlineStr">
        <is>
          <t>Human Body</t>
        </is>
      </c>
      <c r="E58" s="46" t="inlineStr">
        <is>
          <t>How many times does your heart beat in a day?</t>
        </is>
      </c>
      <c r="F58" s="47" t="n">
        <v>100000</v>
      </c>
      <c r="G58" s="45" t="inlineStr">
        <is>
          <t>beats</t>
        </is>
      </c>
      <c r="H58" s="43" t="inlineStr">
        <is>
          <t>Medium</t>
        </is>
      </c>
      <c r="I58" s="45" t="inlineStr">
        <is>
          <t>Cleveland Clinic / NIH / Guinness World Records</t>
        </is>
      </c>
      <c r="J58" s="43" t="n"/>
      <c r="K58" s="45" t="n"/>
      <c r="L58" s="43">
        <f>COUNTIFS($A$2:$A$1501,A58,$D$2:$D$1501,D58)</f>
        <v/>
      </c>
    </row>
    <row r="59" ht="23.85" customHeight="1" s="26">
      <c r="A59" s="43" t="n">
        <v>12</v>
      </c>
      <c r="B59" s="44" t="n">
        <v>46311</v>
      </c>
      <c r="C59" s="43" t="n">
        <v>3</v>
      </c>
      <c r="D59" s="45" t="inlineStr">
        <is>
          <t>Animals and Nature</t>
        </is>
      </c>
      <c r="E59" s="46" t="inlineStr">
        <is>
          <t>How many bird species are there in the world?</t>
        </is>
      </c>
      <c r="F59" s="47" t="n">
        <v>11000</v>
      </c>
      <c r="G59" s="45" t="inlineStr">
        <is>
          <t>species</t>
        </is>
      </c>
      <c r="H59" s="43" t="inlineStr">
        <is>
          <t>Hard</t>
        </is>
      </c>
      <c r="I59" s="45" t="inlineStr">
        <is>
          <t>IOC World Bird List</t>
        </is>
      </c>
      <c r="J59" s="43" t="n"/>
      <c r="K59" s="45" t="n"/>
      <c r="L59" s="43">
        <f>COUNTIFS($A$2:$A$1501,A59,$D$2:$D$1501,D59)</f>
        <v/>
      </c>
    </row>
    <row r="60" ht="23.85" customHeight="1" s="26">
      <c r="A60" s="43" t="n">
        <v>12</v>
      </c>
      <c r="B60" s="44" t="n">
        <v>46311</v>
      </c>
      <c r="C60" s="43" t="n">
        <v>4</v>
      </c>
      <c r="D60" s="45" t="inlineStr">
        <is>
          <t>History</t>
        </is>
      </c>
      <c r="E60" s="46" t="inlineStr">
        <is>
          <t>How many words long is Lincoln's Gettysburg Address?</t>
        </is>
      </c>
      <c r="F60" s="47" t="n">
        <v>272</v>
      </c>
      <c r="G60" s="45" t="inlineStr">
        <is>
          <t>words</t>
        </is>
      </c>
      <c r="H60" s="43" t="inlineStr">
        <is>
          <t>Hard</t>
        </is>
      </c>
      <c r="I60" s="45" t="inlineStr">
        <is>
          <t>Britannica / national archives</t>
        </is>
      </c>
      <c r="J60" s="43" t="n"/>
      <c r="K60" s="45" t="n"/>
      <c r="L60" s="43">
        <f>COUNTIFS($A$2:$A$1501,A60,$D$2:$D$1501,D60)</f>
        <v/>
      </c>
    </row>
    <row r="61" ht="23.85" customHeight="1" s="26">
      <c r="A61" s="43" t="n">
        <v>12</v>
      </c>
      <c r="B61" s="44" t="n">
        <v>46311</v>
      </c>
      <c r="C61" s="43" t="n">
        <v>5</v>
      </c>
      <c r="D61" s="45" t="inlineStr">
        <is>
          <t>Distance of the Day</t>
        </is>
      </c>
      <c r="E61" s="46" t="inlineStr">
        <is>
          <t>How far is it in a straight line from Moscow to Istanbul?</t>
        </is>
      </c>
      <c r="F61" s="47" t="n">
        <v>1760</v>
      </c>
      <c r="G61" s="45" t="inlineStr">
        <is>
          <t>km</t>
        </is>
      </c>
      <c r="H61" s="43" t="inlineStr">
        <is>
          <t>Medium</t>
        </is>
      </c>
      <c r="I61" s="45" t="inlineStr">
        <is>
          <t>Computed great-circle distance (city centre to city centre)</t>
        </is>
      </c>
      <c r="J61" s="43" t="n"/>
      <c r="K61" s="45" t="n"/>
      <c r="L61" s="43">
        <f>COUNTIFS($A$2:$A$1501,A61,$D$2:$D$1501,D61)</f>
        <v/>
      </c>
    </row>
    <row r="62" ht="23.85" customHeight="1" s="26">
      <c r="A62" s="35" t="n">
        <v>13</v>
      </c>
      <c r="B62" s="41" t="n">
        <v>46312</v>
      </c>
      <c r="C62" s="35" t="n">
        <v>1</v>
      </c>
      <c r="D62" s="33" t="inlineStr">
        <is>
          <t>Buildings and Engineering</t>
        </is>
      </c>
      <c r="E62" s="36" t="inlineStr">
        <is>
          <t>How wide is the wingspan of an Airbus A380?</t>
        </is>
      </c>
      <c r="F62" s="42" t="n">
        <v>80</v>
      </c>
      <c r="G62" s="33" t="inlineStr">
        <is>
          <t>metres</t>
        </is>
      </c>
      <c r="H62" s="35" t="inlineStr">
        <is>
          <t>Medium</t>
        </is>
      </c>
      <c r="I62" s="33" t="inlineStr">
        <is>
          <t>Airbus</t>
        </is>
      </c>
      <c r="J62" s="35" t="n"/>
      <c r="K62" s="33" t="n"/>
      <c r="L62" s="35">
        <f>COUNTIFS($A$2:$A$1501,A62,$D$2:$D$1501,D62)</f>
        <v/>
      </c>
    </row>
    <row r="63" ht="23.85" customHeight="1" s="26">
      <c r="A63" s="35" t="n">
        <v>13</v>
      </c>
      <c r="B63" s="41" t="n">
        <v>46312</v>
      </c>
      <c r="C63" s="35" t="n">
        <v>2</v>
      </c>
      <c r="D63" s="33" t="inlineStr">
        <is>
          <t>Sports</t>
        </is>
      </c>
      <c r="E63" s="36" t="inlineStr">
        <is>
          <t>How long is a tennis court?</t>
        </is>
      </c>
      <c r="F63" s="42" t="n">
        <v>78</v>
      </c>
      <c r="G63" s="33" t="inlineStr">
        <is>
          <t>feet</t>
        </is>
      </c>
      <c r="H63" s="35" t="inlineStr">
        <is>
          <t>Medium</t>
        </is>
      </c>
      <c r="I63" s="33" t="inlineStr">
        <is>
          <t>ITF Rules</t>
        </is>
      </c>
      <c r="J63" s="35" t="n"/>
      <c r="K63" s="33" t="n"/>
      <c r="L63" s="35">
        <f>COUNTIFS($A$2:$A$1501,A63,$D$2:$D$1501,D63)</f>
        <v/>
      </c>
    </row>
    <row r="64" ht="23.85" customHeight="1" s="26">
      <c r="A64" s="35" t="n">
        <v>13</v>
      </c>
      <c r="B64" s="41" t="n">
        <v>46312</v>
      </c>
      <c r="C64" s="35" t="n">
        <v>3</v>
      </c>
      <c r="D64" s="33" t="inlineStr">
        <is>
          <t>Movies, Music and Games</t>
        </is>
      </c>
      <c r="E64" s="36" t="inlineStr">
        <is>
          <t>How tall is the Mona Lisa painting?</t>
        </is>
      </c>
      <c r="F64" s="42" t="n">
        <v>77</v>
      </c>
      <c r="G64" s="33" t="inlineStr">
        <is>
          <t>cm</t>
        </is>
      </c>
      <c r="H64" s="35" t="inlineStr">
        <is>
          <t>Medium</t>
        </is>
      </c>
      <c r="I64" s="33" t="inlineStr">
        <is>
          <t>Louvre</t>
        </is>
      </c>
      <c r="J64" s="35" t="n"/>
      <c r="K64" s="33" t="n"/>
      <c r="L64" s="35">
        <f>COUNTIFS($A$2:$A$1501,A64,$D$2:$D$1501,D64)</f>
        <v/>
      </c>
    </row>
    <row r="65" ht="23.85" customHeight="1" s="26">
      <c r="A65" s="35" t="n">
        <v>13</v>
      </c>
      <c r="B65" s="41" t="n">
        <v>46312</v>
      </c>
      <c r="C65" s="35" t="n">
        <v>4</v>
      </c>
      <c r="D65" s="33" t="inlineStr">
        <is>
          <t>Geography</t>
        </is>
      </c>
      <c r="E65" s="36" t="inlineStr">
        <is>
          <t>How tall is Mount Kosciuszko, the highest point in mainland Australia?</t>
        </is>
      </c>
      <c r="F65" s="42" t="n">
        <v>2228</v>
      </c>
      <c r="G65" s="33" t="inlineStr">
        <is>
          <t>metres</t>
        </is>
      </c>
      <c r="H65" s="35" t="inlineStr">
        <is>
          <t>Hard</t>
        </is>
      </c>
      <c r="I65" s="33" t="inlineStr">
        <is>
          <t>Britannica / national survey agencies</t>
        </is>
      </c>
      <c r="J65" s="35" t="n"/>
      <c r="K65" s="33" t="n"/>
      <c r="L65" s="35">
        <f>COUNTIFS($A$2:$A$1501,A65,$D$2:$D$1501,D65)</f>
        <v/>
      </c>
    </row>
    <row r="66" ht="23.85" customHeight="1" s="26">
      <c r="A66" s="35" t="n">
        <v>13</v>
      </c>
      <c r="B66" s="41" t="n">
        <v>46312</v>
      </c>
      <c r="C66" s="35" t="n">
        <v>5</v>
      </c>
      <c r="D66" s="33" t="inlineStr">
        <is>
          <t>Distance of the Day</t>
        </is>
      </c>
      <c r="E66" s="36" t="inlineStr">
        <is>
          <t>How far is it in a straight line from Edmonton to London?</t>
        </is>
      </c>
      <c r="F66" s="42" t="n">
        <v>6800</v>
      </c>
      <c r="G66" s="33" t="inlineStr">
        <is>
          <t>km</t>
        </is>
      </c>
      <c r="H66" s="35" t="inlineStr">
        <is>
          <t>Medium</t>
        </is>
      </c>
      <c r="I66" s="33" t="inlineStr">
        <is>
          <t>Computed great-circle distance (city centre to city centre)</t>
        </is>
      </c>
      <c r="J66" s="35" t="n"/>
      <c r="K66" s="33" t="n"/>
      <c r="L66" s="35">
        <f>COUNTIFS($A$2:$A$1501,A66,$D$2:$D$1501,D66)</f>
        <v/>
      </c>
    </row>
    <row r="67" ht="23.85" customHeight="1" s="26">
      <c r="A67" s="43" t="n">
        <v>14</v>
      </c>
      <c r="B67" s="44" t="n">
        <v>46313</v>
      </c>
      <c r="C67" s="43" t="n">
        <v>1</v>
      </c>
      <c r="D67" s="45" t="inlineStr">
        <is>
          <t>Space and Science</t>
        </is>
      </c>
      <c r="E67" s="46" t="inlineStr">
        <is>
          <t>How high above Earth does the International Space Station orbit?</t>
        </is>
      </c>
      <c r="F67" s="47" t="n">
        <v>400</v>
      </c>
      <c r="G67" s="45" t="inlineStr">
        <is>
          <t>km</t>
        </is>
      </c>
      <c r="H67" s="43" t="inlineStr">
        <is>
          <t>Medium</t>
        </is>
      </c>
      <c r="I67" s="45" t="inlineStr">
        <is>
          <t>NASA</t>
        </is>
      </c>
      <c r="J67" s="43" t="n"/>
      <c r="K67" s="45" t="n"/>
      <c r="L67" s="43">
        <f>COUNTIFS($A$2:$A$1501,A67,$D$2:$D$1501,D67)</f>
        <v/>
      </c>
    </row>
    <row r="68" ht="23.85" customHeight="1" s="26">
      <c r="A68" s="43" t="n">
        <v>14</v>
      </c>
      <c r="B68" s="44" t="n">
        <v>46313</v>
      </c>
      <c r="C68" s="43" t="n">
        <v>2</v>
      </c>
      <c r="D68" s="45" t="inlineStr">
        <is>
          <t>Animals and Nature</t>
        </is>
      </c>
      <c r="E68" s="46" t="inlineStr">
        <is>
          <t>How many teeth does a great white shark have in its mouth at one time?</t>
        </is>
      </c>
      <c r="F68" s="47" t="n">
        <v>300</v>
      </c>
      <c r="G68" s="45" t="inlineStr">
        <is>
          <t>teeth</t>
        </is>
      </c>
      <c r="H68" s="43" t="inlineStr">
        <is>
          <t>Medium</t>
        </is>
      </c>
      <c r="I68" s="45" t="inlineStr">
        <is>
          <t>Britannica / National Geographic / Guinness World Records</t>
        </is>
      </c>
      <c r="J68" s="43" t="n"/>
      <c r="K68" s="45" t="n"/>
      <c r="L68" s="43">
        <f>COUNTIFS($A$2:$A$1501,A68,$D$2:$D$1501,D68)</f>
        <v/>
      </c>
    </row>
    <row r="69" ht="23.85" customHeight="1" s="26">
      <c r="A69" s="43" t="n">
        <v>14</v>
      </c>
      <c r="B69" s="44" t="n">
        <v>46313</v>
      </c>
      <c r="C69" s="43" t="n">
        <v>3</v>
      </c>
      <c r="D69" s="45" t="inlineStr">
        <is>
          <t>Canada</t>
        </is>
      </c>
      <c r="E69" s="46" t="inlineStr">
        <is>
          <t>How long is the Mackenzie River system, Canada's longest?</t>
        </is>
      </c>
      <c r="F69" s="47" t="n">
        <v>4241</v>
      </c>
      <c r="G69" s="45" t="inlineStr">
        <is>
          <t>km</t>
        </is>
      </c>
      <c r="H69" s="43" t="inlineStr">
        <is>
          <t>Hard</t>
        </is>
      </c>
      <c r="I69" s="45" t="inlineStr">
        <is>
          <t>Natural Resources Canada</t>
        </is>
      </c>
      <c r="J69" s="43" t="n"/>
      <c r="K69" s="45" t="n"/>
      <c r="L69" s="43">
        <f>COUNTIFS($A$2:$A$1501,A69,$D$2:$D$1501,D69)</f>
        <v/>
      </c>
    </row>
    <row r="70" ht="23.85" customHeight="1" s="26">
      <c r="A70" s="43" t="n">
        <v>14</v>
      </c>
      <c r="B70" s="44" t="n">
        <v>46313</v>
      </c>
      <c r="C70" s="43" t="n">
        <v>4</v>
      </c>
      <c r="D70" s="45" t="inlineStr">
        <is>
          <t>Human Body</t>
        </is>
      </c>
      <c r="E70" s="46" t="inlineStr">
        <is>
          <t>How many protein-coding genes do humans have?</t>
        </is>
      </c>
      <c r="F70" s="47" t="n">
        <v>20000</v>
      </c>
      <c r="G70" s="45" t="inlineStr">
        <is>
          <t>genes</t>
        </is>
      </c>
      <c r="H70" s="43" t="inlineStr">
        <is>
          <t>Hard</t>
        </is>
      </c>
      <c r="I70" s="45" t="inlineStr">
        <is>
          <t>National Human Genome Research Institute</t>
        </is>
      </c>
      <c r="J70" s="43" t="n"/>
      <c r="K70" s="45" t="n"/>
      <c r="L70" s="43">
        <f>COUNTIFS($A$2:$A$1501,A70,$D$2:$D$1501,D70)</f>
        <v/>
      </c>
    </row>
    <row r="71" ht="23.85" customHeight="1" s="26">
      <c r="A71" s="43" t="n">
        <v>14</v>
      </c>
      <c r="B71" s="44" t="n">
        <v>46313</v>
      </c>
      <c r="C71" s="43" t="n">
        <v>5</v>
      </c>
      <c r="D71" s="45" t="inlineStr">
        <is>
          <t>Distance of the Day</t>
        </is>
      </c>
      <c r="E71" s="46" t="inlineStr">
        <is>
          <t>How far is it in a straight line from Moscow to Beijing?</t>
        </is>
      </c>
      <c r="F71" s="47" t="n">
        <v>5790</v>
      </c>
      <c r="G71" s="45" t="inlineStr">
        <is>
          <t>km</t>
        </is>
      </c>
      <c r="H71" s="43" t="inlineStr">
        <is>
          <t>Medium</t>
        </is>
      </c>
      <c r="I71" s="45" t="inlineStr">
        <is>
          <t>Computed great-circle distance (city centre to city centre)</t>
        </is>
      </c>
      <c r="J71" s="43" t="n"/>
      <c r="K71" s="45" t="n"/>
      <c r="L71" s="43">
        <f>COUNTIFS($A$2:$A$1501,A71,$D$2:$D$1501,D71)</f>
        <v/>
      </c>
    </row>
    <row r="72" ht="23.85" customHeight="1" s="26">
      <c r="A72" s="35" t="n">
        <v>15</v>
      </c>
      <c r="B72" s="41" t="n">
        <v>46314</v>
      </c>
      <c r="C72" s="35" t="n">
        <v>1</v>
      </c>
      <c r="D72" s="33" t="inlineStr">
        <is>
          <t>Sports</t>
        </is>
      </c>
      <c r="E72" s="36" t="inlineStr">
        <is>
          <t>How many home runs did Barry Bonds hit in his record 2001 season?</t>
        </is>
      </c>
      <c r="F72" s="42" t="n">
        <v>73</v>
      </c>
      <c r="G72" s="33" t="inlineStr">
        <is>
          <t>home runs</t>
        </is>
      </c>
      <c r="H72" s="35" t="inlineStr">
        <is>
          <t>Easy</t>
        </is>
      </c>
      <c r="I72" s="33" t="inlineStr">
        <is>
          <t>MLB.com</t>
        </is>
      </c>
      <c r="J72" s="35" t="n"/>
      <c r="K72" s="33" t="n"/>
      <c r="L72" s="35">
        <f>COUNTIFS($A$2:$A$1501,A72,$D$2:$D$1501,D72)</f>
        <v/>
      </c>
    </row>
    <row r="73" ht="23.85" customHeight="1" s="26">
      <c r="A73" s="35" t="n">
        <v>15</v>
      </c>
      <c r="B73" s="41" t="n">
        <v>46314</v>
      </c>
      <c r="C73" s="35" t="n">
        <v>2</v>
      </c>
      <c r="D73" s="33" t="inlineStr">
        <is>
          <t>Buildings and Engineering</t>
        </is>
      </c>
      <c r="E73" s="36" t="inlineStr">
        <is>
          <t>How tall is the London Eye?</t>
        </is>
      </c>
      <c r="F73" s="42" t="n">
        <v>135</v>
      </c>
      <c r="G73" s="33" t="inlineStr">
        <is>
          <t>metres</t>
        </is>
      </c>
      <c r="H73" s="35" t="inlineStr">
        <is>
          <t>Medium</t>
        </is>
      </c>
      <c r="I73" s="33" t="inlineStr">
        <is>
          <t>London Eye</t>
        </is>
      </c>
      <c r="J73" s="35" t="n"/>
      <c r="K73" s="33" t="n"/>
      <c r="L73" s="35">
        <f>COUNTIFS($A$2:$A$1501,A73,$D$2:$D$1501,D73)</f>
        <v/>
      </c>
    </row>
    <row r="74" ht="23.85" customHeight="1" s="26">
      <c r="A74" s="35" t="n">
        <v>15</v>
      </c>
      <c r="B74" s="41" t="n">
        <v>46314</v>
      </c>
      <c r="C74" s="35" t="n">
        <v>3</v>
      </c>
      <c r="D74" s="33" t="inlineStr">
        <is>
          <t>Geography</t>
        </is>
      </c>
      <c r="E74" s="36" t="inlineStr">
        <is>
          <t>How big is Japan?</t>
        </is>
      </c>
      <c r="F74" s="42" t="n">
        <v>377975</v>
      </c>
      <c r="G74" s="33" t="inlineStr">
        <is>
          <t>km²</t>
        </is>
      </c>
      <c r="H74" s="35" t="inlineStr">
        <is>
          <t>Hard</t>
        </is>
      </c>
      <c r="I74" s="33" t="inlineStr">
        <is>
          <t>Britannica / national survey agencies</t>
        </is>
      </c>
      <c r="J74" s="35" t="n"/>
      <c r="K74" s="33" t="n"/>
      <c r="L74" s="35">
        <f>COUNTIFS($A$2:$A$1501,A74,$D$2:$D$1501,D74)</f>
        <v/>
      </c>
    </row>
    <row r="75" ht="23.85" customHeight="1" s="26">
      <c r="A75" s="35" t="n">
        <v>15</v>
      </c>
      <c r="B75" s="41" t="n">
        <v>46314</v>
      </c>
      <c r="C75" s="35" t="n">
        <v>4</v>
      </c>
      <c r="D75" s="33" t="inlineStr">
        <is>
          <t>Movies, Music and Games</t>
        </is>
      </c>
      <c r="E75" s="36" t="inlineStr">
        <is>
          <t>How many words are in Shakespeare's complete works, roughly?</t>
        </is>
      </c>
      <c r="F75" s="42" t="n">
        <v>884000</v>
      </c>
      <c r="G75" s="33" t="inlineStr">
        <is>
          <t>words</t>
        </is>
      </c>
      <c r="H75" s="35" t="inlineStr">
        <is>
          <t>Hard</t>
        </is>
      </c>
      <c r="I75" s="33" t="inlineStr">
        <is>
          <t>IMDb / official records / Guinness World Records</t>
        </is>
      </c>
      <c r="J75" s="35" t="n"/>
      <c r="K75" s="33" t="n"/>
      <c r="L75" s="35">
        <f>COUNTIFS($A$2:$A$1501,A75,$D$2:$D$1501,D75)</f>
        <v/>
      </c>
    </row>
    <row r="76" ht="23.85" customHeight="1" s="26">
      <c r="A76" s="35" t="n">
        <v>15</v>
      </c>
      <c r="B76" s="41" t="n">
        <v>46314</v>
      </c>
      <c r="C76" s="35" t="n">
        <v>5</v>
      </c>
      <c r="D76" s="33" t="inlineStr">
        <is>
          <t>Distance of the Day</t>
        </is>
      </c>
      <c r="E76" s="36" t="inlineStr">
        <is>
          <t>How far is it in a straight line from Winnipeg to Honolulu?</t>
        </is>
      </c>
      <c r="F76" s="42" t="n">
        <v>6130</v>
      </c>
      <c r="G76" s="33" t="inlineStr">
        <is>
          <t>km</t>
        </is>
      </c>
      <c r="H76" s="35" t="inlineStr">
        <is>
          <t>Medium</t>
        </is>
      </c>
      <c r="I76" s="33" t="inlineStr">
        <is>
          <t>Computed great-circle distance (city centre to city centre)</t>
        </is>
      </c>
      <c r="J76" s="35" t="n"/>
      <c r="K76" s="33" t="n"/>
      <c r="L76" s="35">
        <f>COUNTIFS($A$2:$A$1501,A76,$D$2:$D$1501,D76)</f>
        <v/>
      </c>
    </row>
    <row r="77" ht="23.85" customHeight="1" s="26">
      <c r="A77" s="43" t="n">
        <v>16</v>
      </c>
      <c r="B77" s="44" t="n">
        <v>46315</v>
      </c>
      <c r="C77" s="43" t="n">
        <v>1</v>
      </c>
      <c r="D77" s="45" t="inlineStr">
        <is>
          <t>Space and Science</t>
        </is>
      </c>
      <c r="E77" s="46" t="inlineStr">
        <is>
          <t>How many years does Halley's Comet take to orbit the Sun?</t>
        </is>
      </c>
      <c r="F77" s="47" t="n">
        <v>76</v>
      </c>
      <c r="G77" s="45" t="inlineStr">
        <is>
          <t>years</t>
        </is>
      </c>
      <c r="H77" s="43" t="inlineStr">
        <is>
          <t>Medium</t>
        </is>
      </c>
      <c r="I77" s="45" t="inlineStr">
        <is>
          <t>NASA</t>
        </is>
      </c>
      <c r="J77" s="43" t="n"/>
      <c r="K77" s="45" t="n"/>
      <c r="L77" s="43">
        <f>COUNTIFS($A$2:$A$1501,A77,$D$2:$D$1501,D77)</f>
        <v/>
      </c>
    </row>
    <row r="78" ht="23.85" customHeight="1" s="26">
      <c r="A78" s="43" t="n">
        <v>16</v>
      </c>
      <c r="B78" s="44" t="n">
        <v>46315</v>
      </c>
      <c r="C78" s="43" t="n">
        <v>2</v>
      </c>
      <c r="D78" s="45" t="inlineStr">
        <is>
          <t>Animals and Nature</t>
        </is>
      </c>
      <c r="E78" s="46" t="inlineStr">
        <is>
          <t>How heavy was the largest bald eagle nest ever recorded?</t>
        </is>
      </c>
      <c r="F78" s="47" t="n">
        <v>2700</v>
      </c>
      <c r="G78" s="45" t="inlineStr">
        <is>
          <t>kg</t>
        </is>
      </c>
      <c r="H78" s="43" t="inlineStr">
        <is>
          <t>Hard</t>
        </is>
      </c>
      <c r="I78" s="45" t="inlineStr">
        <is>
          <t>Guinness World Records</t>
        </is>
      </c>
      <c r="J78" s="43" t="n"/>
      <c r="K78" s="45" t="n"/>
      <c r="L78" s="43">
        <f>COUNTIFS($A$2:$A$1501,A78,$D$2:$D$1501,D78)</f>
        <v/>
      </c>
    </row>
    <row r="79" ht="23.85" customHeight="1" s="26">
      <c r="A79" s="43" t="n">
        <v>16</v>
      </c>
      <c r="B79" s="44" t="n">
        <v>46315</v>
      </c>
      <c r="C79" s="43" t="n">
        <v>3</v>
      </c>
      <c r="D79" s="45" t="inlineStr">
        <is>
          <t>History</t>
        </is>
      </c>
      <c r="E79" s="46" t="inlineStr">
        <is>
          <t>How many words were in the original US Constitution, before amendments?</t>
        </is>
      </c>
      <c r="F79" s="47" t="n">
        <v>4543</v>
      </c>
      <c r="G79" s="45" t="inlineStr">
        <is>
          <t>words</t>
        </is>
      </c>
      <c r="H79" s="43" t="inlineStr">
        <is>
          <t>Hard</t>
        </is>
      </c>
      <c r="I79" s="45" t="inlineStr">
        <is>
          <t>US National Archives</t>
        </is>
      </c>
      <c r="J79" s="43" t="n"/>
      <c r="K79" s="45" t="n"/>
      <c r="L79" s="43">
        <f>COUNTIFS($A$2:$A$1501,A79,$D$2:$D$1501,D79)</f>
        <v/>
      </c>
    </row>
    <row r="80" ht="23.85" customHeight="1" s="26">
      <c r="A80" s="43" t="n">
        <v>16</v>
      </c>
      <c r="B80" s="44" t="n">
        <v>46315</v>
      </c>
      <c r="C80" s="43" t="n">
        <v>4</v>
      </c>
      <c r="D80" s="45" t="inlineStr">
        <is>
          <t>Canada</t>
        </is>
      </c>
      <c r="E80" s="46" t="inlineStr">
        <is>
          <t>How big is Banff National Park?</t>
        </is>
      </c>
      <c r="F80" s="47" t="n">
        <v>6641</v>
      </c>
      <c r="G80" s="45" t="inlineStr">
        <is>
          <t>km²</t>
        </is>
      </c>
      <c r="H80" s="43" t="inlineStr">
        <is>
          <t>Hard</t>
        </is>
      </c>
      <c r="I80" s="45" t="inlineStr">
        <is>
          <t>Parks Canada</t>
        </is>
      </c>
      <c r="J80" s="43" t="n"/>
      <c r="K80" s="45" t="n"/>
      <c r="L80" s="43">
        <f>COUNTIFS($A$2:$A$1501,A80,$D$2:$D$1501,D80)</f>
        <v/>
      </c>
    </row>
    <row r="81" ht="23.85" customHeight="1" s="26">
      <c r="A81" s="43" t="n">
        <v>16</v>
      </c>
      <c r="B81" s="44" t="n">
        <v>46315</v>
      </c>
      <c r="C81" s="43" t="n">
        <v>5</v>
      </c>
      <c r="D81" s="45" t="inlineStr">
        <is>
          <t>Distance of the Day</t>
        </is>
      </c>
      <c r="E81" s="46" t="inlineStr">
        <is>
          <t>How far is it in a straight line from Chicago to Honolulu?</t>
        </is>
      </c>
      <c r="F81" s="47" t="n">
        <v>6840</v>
      </c>
      <c r="G81" s="45" t="inlineStr">
        <is>
          <t>km</t>
        </is>
      </c>
      <c r="H81" s="43" t="inlineStr">
        <is>
          <t>Medium</t>
        </is>
      </c>
      <c r="I81" s="45" t="inlineStr">
        <is>
          <t>Computed great-circle distance (city centre to city centre)</t>
        </is>
      </c>
      <c r="J81" s="43" t="n"/>
      <c r="K81" s="45" t="n"/>
      <c r="L81" s="43">
        <f>COUNTIFS($A$2:$A$1501,A81,$D$2:$D$1501,D81)</f>
        <v/>
      </c>
    </row>
    <row r="82" ht="23.85" customHeight="1" s="26">
      <c r="A82" s="35" t="n">
        <v>17</v>
      </c>
      <c r="B82" s="41" t="n">
        <v>46316</v>
      </c>
      <c r="C82" s="35" t="n">
        <v>1</v>
      </c>
      <c r="D82" s="33" t="inlineStr">
        <is>
          <t>Buildings and Engineering</t>
        </is>
      </c>
      <c r="E82" s="36" t="inlineStr">
        <is>
          <t>How long is the Suez Canal?</t>
        </is>
      </c>
      <c r="F82" s="42" t="n">
        <v>193</v>
      </c>
      <c r="G82" s="33" t="inlineStr">
        <is>
          <t>km</t>
        </is>
      </c>
      <c r="H82" s="35" t="inlineStr">
        <is>
          <t>Medium</t>
        </is>
      </c>
      <c r="I82" s="33" t="inlineStr">
        <is>
          <t>Suez Canal Authority</t>
        </is>
      </c>
      <c r="J82" s="35" t="n"/>
      <c r="K82" s="33" t="n"/>
      <c r="L82" s="35">
        <f>COUNTIFS($A$2:$A$1501,A82,$D$2:$D$1501,D82)</f>
        <v/>
      </c>
    </row>
    <row r="83" ht="23.85" customHeight="1" s="26">
      <c r="A83" s="35" t="n">
        <v>17</v>
      </c>
      <c r="B83" s="41" t="n">
        <v>46316</v>
      </c>
      <c r="C83" s="35" t="n">
        <v>2</v>
      </c>
      <c r="D83" s="33" t="inlineStr">
        <is>
          <t>Sports</t>
        </is>
      </c>
      <c r="E83" s="36" t="inlineStr">
        <is>
          <t>How many rebounds did Wilt Chamberlain grab in his record single game?</t>
        </is>
      </c>
      <c r="F83" s="42" t="n">
        <v>55</v>
      </c>
      <c r="G83" s="33" t="inlineStr">
        <is>
          <t>rebounds</t>
        </is>
      </c>
      <c r="H83" s="35" t="inlineStr">
        <is>
          <t>Medium</t>
        </is>
      </c>
      <c r="I83" s="33" t="inlineStr">
        <is>
          <t>NBA.com</t>
        </is>
      </c>
      <c r="J83" s="35" t="n"/>
      <c r="K83" s="33" t="n"/>
      <c r="L83" s="35">
        <f>COUNTIFS($A$2:$A$1501,A83,$D$2:$D$1501,D83)</f>
        <v/>
      </c>
    </row>
    <row r="84" ht="23.85" customHeight="1" s="26">
      <c r="A84" s="35" t="n">
        <v>17</v>
      </c>
      <c r="B84" s="41" t="n">
        <v>46316</v>
      </c>
      <c r="C84" s="35" t="n">
        <v>3</v>
      </c>
      <c r="D84" s="33" t="inlineStr">
        <is>
          <t>Movies, Music and Games</t>
        </is>
      </c>
      <c r="E84" s="36" t="inlineStr">
        <is>
          <t>How many copies has Michael Jackson's Thriller sold worldwide, by common estimates?</t>
        </is>
      </c>
      <c r="F84" s="42" t="n">
        <v>70</v>
      </c>
      <c r="G84" s="33" t="inlineStr">
        <is>
          <t>million copies</t>
        </is>
      </c>
      <c r="H84" s="35" t="inlineStr">
        <is>
          <t>Medium</t>
        </is>
      </c>
      <c r="I84" s="33" t="inlineStr">
        <is>
          <t>IMDb / official records / Guinness World Records</t>
        </is>
      </c>
      <c r="J84" s="35" t="n"/>
      <c r="K84" s="33" t="n"/>
      <c r="L84" s="35">
        <f>COUNTIFS($A$2:$A$1501,A84,$D$2:$D$1501,D84)</f>
        <v/>
      </c>
    </row>
    <row r="85" ht="23.85" customHeight="1" s="26">
      <c r="A85" s="35" t="n">
        <v>17</v>
      </c>
      <c r="B85" s="41" t="n">
        <v>46316</v>
      </c>
      <c r="C85" s="35" t="n">
        <v>4</v>
      </c>
      <c r="D85" s="33" t="inlineStr">
        <is>
          <t>Geography</t>
        </is>
      </c>
      <c r="E85" s="36" t="inlineStr">
        <is>
          <t>How deep is Lake Baikal at its deepest point?</t>
        </is>
      </c>
      <c r="F85" s="42" t="n">
        <v>1642</v>
      </c>
      <c r="G85" s="33" t="inlineStr">
        <is>
          <t>metres</t>
        </is>
      </c>
      <c r="H85" s="35" t="inlineStr">
        <is>
          <t>Hard</t>
        </is>
      </c>
      <c r="I85" s="33" t="inlineStr">
        <is>
          <t>Britannica / national survey agencies</t>
        </is>
      </c>
      <c r="J85" s="35" t="n"/>
      <c r="K85" s="33" t="n"/>
      <c r="L85" s="35">
        <f>COUNTIFS($A$2:$A$1501,A85,$D$2:$D$1501,D85)</f>
        <v/>
      </c>
    </row>
    <row r="86" ht="23.85" customHeight="1" s="26">
      <c r="A86" s="35" t="n">
        <v>17</v>
      </c>
      <c r="B86" s="41" t="n">
        <v>46316</v>
      </c>
      <c r="C86" s="35" t="n">
        <v>5</v>
      </c>
      <c r="D86" s="33" t="inlineStr">
        <is>
          <t>Distance of the Day</t>
        </is>
      </c>
      <c r="E86" s="36" t="inlineStr">
        <is>
          <t>How far is it in a straight line from Vancouver to Auckland?</t>
        </is>
      </c>
      <c r="F86" s="42" t="n">
        <v>11360</v>
      </c>
      <c r="G86" s="33" t="inlineStr">
        <is>
          <t>km</t>
        </is>
      </c>
      <c r="H86" s="35" t="inlineStr">
        <is>
          <t>Hard</t>
        </is>
      </c>
      <c r="I86" s="33" t="inlineStr">
        <is>
          <t>Computed great-circle distance (city centre to city centre)</t>
        </is>
      </c>
      <c r="J86" s="35" t="n"/>
      <c r="K86" s="33" t="n"/>
      <c r="L86" s="35">
        <f>COUNTIFS($A$2:$A$1501,A86,$D$2:$D$1501,D86)</f>
        <v/>
      </c>
    </row>
    <row r="87" ht="23.85" customHeight="1" s="26">
      <c r="A87" s="43" t="n">
        <v>18</v>
      </c>
      <c r="B87" s="44" t="n">
        <v>46317</v>
      </c>
      <c r="C87" s="43" t="n">
        <v>1</v>
      </c>
      <c r="D87" s="45" t="inlineStr">
        <is>
          <t>Human Body</t>
        </is>
      </c>
      <c r="E87" s="46" t="inlineStr">
        <is>
          <t>How many bones are in the human foot?</t>
        </is>
      </c>
      <c r="F87" s="47" t="n">
        <v>26</v>
      </c>
      <c r="G87" s="45" t="inlineStr">
        <is>
          <t>bones</t>
        </is>
      </c>
      <c r="H87" s="43" t="inlineStr">
        <is>
          <t>Medium</t>
        </is>
      </c>
      <c r="I87" s="45" t="inlineStr">
        <is>
          <t>Cleveland Clinic / NIH / Guinness World Records</t>
        </is>
      </c>
      <c r="J87" s="43" t="n"/>
      <c r="K87" s="45" t="n"/>
      <c r="L87" s="43">
        <f>COUNTIFS($A$2:$A$1501,A87,$D$2:$D$1501,D87)</f>
        <v/>
      </c>
    </row>
    <row r="88" ht="23.85" customHeight="1" s="26">
      <c r="A88" s="43" t="n">
        <v>18</v>
      </c>
      <c r="B88" s="44" t="n">
        <v>46317</v>
      </c>
      <c r="C88" s="43" t="n">
        <v>2</v>
      </c>
      <c r="D88" s="45" t="inlineStr">
        <is>
          <t>Space and Science</t>
        </is>
      </c>
      <c r="E88" s="46" t="inlineStr">
        <is>
          <t>At what temperature does tungsten melt?</t>
        </is>
      </c>
      <c r="F88" s="47" t="n">
        <v>3422</v>
      </c>
      <c r="G88" s="45" t="inlineStr">
        <is>
          <t>°C</t>
        </is>
      </c>
      <c r="H88" s="43" t="inlineStr">
        <is>
          <t>Hard</t>
        </is>
      </c>
      <c r="I88" s="45" t="inlineStr">
        <is>
          <t>CRC Handbook</t>
        </is>
      </c>
      <c r="J88" s="43" t="n"/>
      <c r="K88" s="45" t="n"/>
      <c r="L88" s="43">
        <f>COUNTIFS($A$2:$A$1501,A88,$D$2:$D$1501,D88)</f>
        <v/>
      </c>
    </row>
    <row r="89" ht="23.85" customHeight="1" s="26">
      <c r="A89" s="43" t="n">
        <v>18</v>
      </c>
      <c r="B89" s="44" t="n">
        <v>46317</v>
      </c>
      <c r="C89" s="43" t="n">
        <v>3</v>
      </c>
      <c r="D89" s="45" t="inlineStr">
        <is>
          <t>Animals and Nature</t>
        </is>
      </c>
      <c r="E89" s="46" t="inlineStr">
        <is>
          <t>How many potentially active volcanoes are there on land?</t>
        </is>
      </c>
      <c r="F89" s="47" t="n">
        <v>1350</v>
      </c>
      <c r="G89" s="45" t="inlineStr">
        <is>
          <t>volcanoes</t>
        </is>
      </c>
      <c r="H89" s="43" t="inlineStr">
        <is>
          <t>Hard</t>
        </is>
      </c>
      <c r="I89" s="45" t="inlineStr">
        <is>
          <t>USGS</t>
        </is>
      </c>
      <c r="J89" s="43" t="n"/>
      <c r="K89" s="45" t="n"/>
      <c r="L89" s="43">
        <f>COUNTIFS($A$2:$A$1501,A89,$D$2:$D$1501,D89)</f>
        <v/>
      </c>
    </row>
    <row r="90" ht="23.85" customHeight="1" s="26">
      <c r="A90" s="43" t="n">
        <v>18</v>
      </c>
      <c r="B90" s="44" t="n">
        <v>46317</v>
      </c>
      <c r="C90" s="43" t="n">
        <v>4</v>
      </c>
      <c r="D90" s="45" t="inlineStr">
        <is>
          <t>History</t>
        </is>
      </c>
      <c r="E90" s="46" t="inlineStr">
        <is>
          <t>How many days did World War I last, from the first declaration of war to the armistice?</t>
        </is>
      </c>
      <c r="F90" s="47" t="n">
        <v>1567</v>
      </c>
      <c r="G90" s="45" t="inlineStr">
        <is>
          <t>days</t>
        </is>
      </c>
      <c r="H90" s="43" t="inlineStr">
        <is>
          <t>Hard</t>
        </is>
      </c>
      <c r="I90" s="45" t="inlineStr">
        <is>
          <t>Britannica / national archives</t>
        </is>
      </c>
      <c r="J90" s="43" t="n"/>
      <c r="K90" s="45" t="n"/>
      <c r="L90" s="43">
        <f>COUNTIFS($A$2:$A$1501,A90,$D$2:$D$1501,D90)</f>
        <v/>
      </c>
    </row>
    <row r="91" ht="23.85" customHeight="1" s="26">
      <c r="A91" s="43" t="n">
        <v>18</v>
      </c>
      <c r="B91" s="44" t="n">
        <v>46317</v>
      </c>
      <c r="C91" s="43" t="n">
        <v>5</v>
      </c>
      <c r="D91" s="45" t="inlineStr">
        <is>
          <t>Distance of the Day</t>
        </is>
      </c>
      <c r="E91" s="46" t="inlineStr">
        <is>
          <t>How far is it in a straight line from Paris to Seoul?</t>
        </is>
      </c>
      <c r="F91" s="47" t="n">
        <v>8970</v>
      </c>
      <c r="G91" s="45" t="inlineStr">
        <is>
          <t>km</t>
        </is>
      </c>
      <c r="H91" s="43" t="inlineStr">
        <is>
          <t>Hard</t>
        </is>
      </c>
      <c r="I91" s="45" t="inlineStr">
        <is>
          <t>Computed great-circle distance (city centre to city centre)</t>
        </is>
      </c>
      <c r="J91" s="43" t="n"/>
      <c r="K91" s="45" t="n"/>
      <c r="L91" s="43">
        <f>COUNTIFS($A$2:$A$1501,A91,$D$2:$D$1501,D91)</f>
        <v/>
      </c>
    </row>
    <row r="92" ht="23.85" customHeight="1" s="26">
      <c r="A92" s="35" t="n">
        <v>19</v>
      </c>
      <c r="B92" s="41" t="n">
        <v>46318</v>
      </c>
      <c r="C92" s="35" t="n">
        <v>1</v>
      </c>
      <c r="D92" s="33" t="inlineStr">
        <is>
          <t>Buildings and Engineering</t>
        </is>
      </c>
      <c r="E92" s="36" t="inlineStr">
        <is>
          <t>How long is the Panama Canal?</t>
        </is>
      </c>
      <c r="F92" s="42" t="n">
        <v>82</v>
      </c>
      <c r="G92" s="33" t="inlineStr">
        <is>
          <t>km</t>
        </is>
      </c>
      <c r="H92" s="35" t="inlineStr">
        <is>
          <t>Medium</t>
        </is>
      </c>
      <c r="I92" s="33" t="inlineStr">
        <is>
          <t>Panama Canal Authority</t>
        </is>
      </c>
      <c r="J92" s="35" t="n"/>
      <c r="K92" s="33" t="n"/>
      <c r="L92" s="35">
        <f>COUNTIFS($A$2:$A$1501,A92,$D$2:$D$1501,D92)</f>
        <v/>
      </c>
    </row>
    <row r="93" ht="23.85" customHeight="1" s="26">
      <c r="A93" s="35" t="n">
        <v>19</v>
      </c>
      <c r="B93" s="41" t="n">
        <v>46318</v>
      </c>
      <c r="C93" s="35" t="n">
        <v>2</v>
      </c>
      <c r="D93" s="33" t="inlineStr">
        <is>
          <t>Sports</t>
        </is>
      </c>
      <c r="E93" s="36" t="inlineStr">
        <is>
          <t>How many games long was Joe DiMaggio's record hitting streak?</t>
        </is>
      </c>
      <c r="F93" s="42" t="n">
        <v>56</v>
      </c>
      <c r="G93" s="33" t="inlineStr">
        <is>
          <t>games</t>
        </is>
      </c>
      <c r="H93" s="35" t="inlineStr">
        <is>
          <t>Medium</t>
        </is>
      </c>
      <c r="I93" s="33" t="inlineStr">
        <is>
          <t>MLB.com</t>
        </is>
      </c>
      <c r="J93" s="35" t="n"/>
      <c r="K93" s="33" t="n"/>
      <c r="L93" s="35">
        <f>COUNTIFS($A$2:$A$1501,A93,$D$2:$D$1501,D93)</f>
        <v/>
      </c>
    </row>
    <row r="94" ht="23.85" customHeight="1" s="26">
      <c r="A94" s="35" t="n">
        <v>19</v>
      </c>
      <c r="B94" s="41" t="n">
        <v>46318</v>
      </c>
      <c r="C94" s="35" t="n">
        <v>3</v>
      </c>
      <c r="D94" s="33" t="inlineStr">
        <is>
          <t>Geography</t>
        </is>
      </c>
      <c r="E94" s="36" t="inlineStr">
        <is>
          <t>How many islands make up the Philippines?</t>
        </is>
      </c>
      <c r="F94" s="42" t="n">
        <v>7641</v>
      </c>
      <c r="G94" s="33" t="inlineStr">
        <is>
          <t>islands</t>
        </is>
      </c>
      <c r="H94" s="35" t="inlineStr">
        <is>
          <t>Hard</t>
        </is>
      </c>
      <c r="I94" s="33" t="inlineStr">
        <is>
          <t>NAMRIA</t>
        </is>
      </c>
      <c r="J94" s="35" t="n"/>
      <c r="K94" s="33" t="n"/>
      <c r="L94" s="35">
        <f>COUNTIFS($A$2:$A$1501,A94,$D$2:$D$1501,D94)</f>
        <v/>
      </c>
    </row>
    <row r="95" ht="23.85" customHeight="1" s="26">
      <c r="A95" s="35" t="n">
        <v>19</v>
      </c>
      <c r="B95" s="41" t="n">
        <v>46318</v>
      </c>
      <c r="C95" s="35" t="n">
        <v>4</v>
      </c>
      <c r="D95" s="33" t="inlineStr">
        <is>
          <t>Movies, Music and Games</t>
        </is>
      </c>
      <c r="E95" s="36" t="inlineStr">
        <is>
          <t>How many episodes of Seinfeld were made?</t>
        </is>
      </c>
      <c r="F95" s="42" t="n">
        <v>180</v>
      </c>
      <c r="G95" s="33" t="inlineStr">
        <is>
          <t>episodes</t>
        </is>
      </c>
      <c r="H95" s="35" t="inlineStr">
        <is>
          <t>Hard</t>
        </is>
      </c>
      <c r="I95" s="33" t="inlineStr">
        <is>
          <t>IMDb / official records / Guinness World Records</t>
        </is>
      </c>
      <c r="J95" s="35" t="n"/>
      <c r="K95" s="33" t="n"/>
      <c r="L95" s="35">
        <f>COUNTIFS($A$2:$A$1501,A95,$D$2:$D$1501,D95)</f>
        <v/>
      </c>
    </row>
    <row r="96" ht="23.85" customHeight="1" s="26">
      <c r="A96" s="35" t="n">
        <v>19</v>
      </c>
      <c r="B96" s="41" t="n">
        <v>46318</v>
      </c>
      <c r="C96" s="35" t="n">
        <v>5</v>
      </c>
      <c r="D96" s="33" t="inlineStr">
        <is>
          <t>Distance of the Day</t>
        </is>
      </c>
      <c r="E96" s="36" t="inlineStr">
        <is>
          <t>How far is it in a straight line from Winnipeg to Buenos Aires?</t>
        </is>
      </c>
      <c r="F96" s="42" t="n">
        <v>10140</v>
      </c>
      <c r="G96" s="33" t="inlineStr">
        <is>
          <t>km</t>
        </is>
      </c>
      <c r="H96" s="35" t="inlineStr">
        <is>
          <t>Hard</t>
        </is>
      </c>
      <c r="I96" s="33" t="inlineStr">
        <is>
          <t>Computed great-circle distance (city centre to city centre)</t>
        </is>
      </c>
      <c r="J96" s="35" t="n"/>
      <c r="K96" s="33" t="n"/>
      <c r="L96" s="35">
        <f>COUNTIFS($A$2:$A$1501,A96,$D$2:$D$1501,D96)</f>
        <v/>
      </c>
    </row>
    <row r="97" ht="23.85" customHeight="1" s="26">
      <c r="A97" s="43" t="n">
        <v>20</v>
      </c>
      <c r="B97" s="44" t="n">
        <v>46319</v>
      </c>
      <c r="C97" s="43" t="n">
        <v>1</v>
      </c>
      <c r="D97" s="45" t="inlineStr">
        <is>
          <t>Space and Science</t>
        </is>
      </c>
      <c r="E97" s="46" t="inlineStr">
        <is>
          <t>How fast does Earth's surface spin at the equator?</t>
        </is>
      </c>
      <c r="F97" s="47" t="n">
        <v>1670</v>
      </c>
      <c r="G97" s="45" t="inlineStr">
        <is>
          <t>km/h</t>
        </is>
      </c>
      <c r="H97" s="43" t="inlineStr">
        <is>
          <t>Hard</t>
        </is>
      </c>
      <c r="I97" s="45" t="inlineStr">
        <is>
          <t>NASA / IAU / CRC Handbook</t>
        </is>
      </c>
      <c r="J97" s="43" t="n"/>
      <c r="K97" s="45" t="n"/>
      <c r="L97" s="43">
        <f>COUNTIFS($A$2:$A$1501,A97,$D$2:$D$1501,D97)</f>
        <v/>
      </c>
    </row>
    <row r="98" ht="23.85" customHeight="1" s="26">
      <c r="A98" s="43" t="n">
        <v>20</v>
      </c>
      <c r="B98" s="44" t="n">
        <v>46319</v>
      </c>
      <c r="C98" s="43" t="n">
        <v>2</v>
      </c>
      <c r="D98" s="45" t="inlineStr">
        <is>
          <t>Animals and Nature</t>
        </is>
      </c>
      <c r="E98" s="46" t="inlineStr">
        <is>
          <t>How much can some bamboo species grow in a single day?</t>
        </is>
      </c>
      <c r="F98" s="47" t="n">
        <v>91</v>
      </c>
      <c r="G98" s="45" t="inlineStr">
        <is>
          <t>cm</t>
        </is>
      </c>
      <c r="H98" s="43" t="inlineStr">
        <is>
          <t>Hard</t>
        </is>
      </c>
      <c r="I98" s="45" t="inlineStr">
        <is>
          <t>Guinness World Records</t>
        </is>
      </c>
      <c r="J98" s="43" t="n"/>
      <c r="K98" s="45" t="n"/>
      <c r="L98" s="43">
        <f>COUNTIFS($A$2:$A$1501,A98,$D$2:$D$1501,D98)</f>
        <v/>
      </c>
    </row>
    <row r="99" ht="23.85" customHeight="1" s="26">
      <c r="A99" s="43" t="n">
        <v>20</v>
      </c>
      <c r="B99" s="44" t="n">
        <v>46319</v>
      </c>
      <c r="C99" s="43" t="n">
        <v>3</v>
      </c>
      <c r="D99" s="45" t="inlineStr">
        <is>
          <t>Canada</t>
        </is>
      </c>
      <c r="E99" s="46" t="inlineStr">
        <is>
          <t>How big is Great Bear Lake, the largest lake entirely in Canada?</t>
        </is>
      </c>
      <c r="F99" s="47" t="n">
        <v>31153</v>
      </c>
      <c r="G99" s="45" t="inlineStr">
        <is>
          <t>km²</t>
        </is>
      </c>
      <c r="H99" s="43" t="inlineStr">
        <is>
          <t>Hard</t>
        </is>
      </c>
      <c r="I99" s="45" t="inlineStr">
        <is>
          <t>Natural Resources Canada</t>
        </is>
      </c>
      <c r="J99" s="43" t="n"/>
      <c r="K99" s="45" t="n"/>
      <c r="L99" s="43">
        <f>COUNTIFS($A$2:$A$1501,A99,$D$2:$D$1501,D99)</f>
        <v/>
      </c>
    </row>
    <row r="100" ht="23.85" customHeight="1" s="26">
      <c r="A100" s="43" t="n">
        <v>20</v>
      </c>
      <c r="B100" s="44" t="n">
        <v>46319</v>
      </c>
      <c r="C100" s="43" t="n">
        <v>4</v>
      </c>
      <c r="D100" s="45" t="inlineStr">
        <is>
          <t>Human Body</t>
        </is>
      </c>
      <c r="E100" s="46" t="inlineStr">
        <is>
          <t>How much do fingernails grow in a month?</t>
        </is>
      </c>
      <c r="F100" s="47" t="n">
        <v>3.5</v>
      </c>
      <c r="G100" s="45" t="inlineStr">
        <is>
          <t>mm</t>
        </is>
      </c>
      <c r="H100" s="43" t="inlineStr">
        <is>
          <t>Hard</t>
        </is>
      </c>
      <c r="I100" s="45" t="inlineStr">
        <is>
          <t>Cleveland Clinic / NIH / Guinness World Records</t>
        </is>
      </c>
      <c r="J100" s="43" t="n"/>
      <c r="K100" s="45" t="n"/>
      <c r="L100" s="43">
        <f>COUNTIFS($A$2:$A$1501,A100,$D$2:$D$1501,D100)</f>
        <v/>
      </c>
    </row>
    <row r="101" ht="23.85" customHeight="1" s="26">
      <c r="A101" s="43" t="n">
        <v>20</v>
      </c>
      <c r="B101" s="44" t="n">
        <v>46319</v>
      </c>
      <c r="C101" s="43" t="n">
        <v>5</v>
      </c>
      <c r="D101" s="45" t="inlineStr">
        <is>
          <t>Distance of the Day</t>
        </is>
      </c>
      <c r="E101" s="46" t="inlineStr">
        <is>
          <t>How far is it in a straight line from Los Angeles to Buenos Aires?</t>
        </is>
      </c>
      <c r="F101" s="47" t="n">
        <v>9850</v>
      </c>
      <c r="G101" s="45" t="inlineStr">
        <is>
          <t>km</t>
        </is>
      </c>
      <c r="H101" s="43" t="inlineStr">
        <is>
          <t>Hard</t>
        </is>
      </c>
      <c r="I101" s="45" t="inlineStr">
        <is>
          <t>Computed great-circle distance (city centre to city centre)</t>
        </is>
      </c>
      <c r="J101" s="43" t="n"/>
      <c r="K101" s="45" t="n"/>
      <c r="L101" s="43">
        <f>COUNTIFS($A$2:$A$1501,A101,$D$2:$D$1501,D101)</f>
        <v/>
      </c>
    </row>
    <row r="102" ht="23.85" customHeight="1" s="26">
      <c r="A102" s="35" t="n">
        <v>21</v>
      </c>
      <c r="B102" s="41" t="n">
        <v>46320</v>
      </c>
      <c r="C102" s="35" t="n">
        <v>1</v>
      </c>
      <c r="D102" s="33" t="inlineStr">
        <is>
          <t>Geography</t>
        </is>
      </c>
      <c r="E102" s="36" t="inlineStr">
        <is>
          <t>How long is the Grand Canyon?</t>
        </is>
      </c>
      <c r="F102" s="42" t="n">
        <v>446</v>
      </c>
      <c r="G102" s="33" t="inlineStr">
        <is>
          <t>km</t>
        </is>
      </c>
      <c r="H102" s="35" t="inlineStr">
        <is>
          <t>Medium</t>
        </is>
      </c>
      <c r="I102" s="33" t="inlineStr">
        <is>
          <t>US National Park Service</t>
        </is>
      </c>
      <c r="J102" s="35" t="n"/>
      <c r="K102" s="33" t="n"/>
      <c r="L102" s="35">
        <f>COUNTIFS($A$2:$A$1501,A102,$D$2:$D$1501,D102)</f>
        <v/>
      </c>
    </row>
    <row r="103" ht="23.85" customHeight="1" s="26">
      <c r="A103" s="35" t="n">
        <v>21</v>
      </c>
      <c r="B103" s="41" t="n">
        <v>46320</v>
      </c>
      <c r="C103" s="35" t="n">
        <v>2</v>
      </c>
      <c r="D103" s="33" t="inlineStr">
        <is>
          <t>Buildings and Engineering</t>
        </is>
      </c>
      <c r="E103" s="36" t="inlineStr">
        <is>
          <t>How tall was Kingda Ka, the tallest roller coaster ever built?</t>
        </is>
      </c>
      <c r="F103" s="42" t="n">
        <v>139</v>
      </c>
      <c r="G103" s="33" t="inlineStr">
        <is>
          <t>metres</t>
        </is>
      </c>
      <c r="H103" s="35" t="inlineStr">
        <is>
          <t>Medium</t>
        </is>
      </c>
      <c r="I103" s="33" t="inlineStr">
        <is>
          <t>Official operator sites / CTBUH / Britannica</t>
        </is>
      </c>
      <c r="J103" s="35" t="n"/>
      <c r="K103" s="33" t="n"/>
      <c r="L103" s="35">
        <f>COUNTIFS($A$2:$A$1501,A103,$D$2:$D$1501,D103)</f>
        <v/>
      </c>
    </row>
    <row r="104" ht="23.85" customHeight="1" s="26">
      <c r="A104" s="35" t="n">
        <v>21</v>
      </c>
      <c r="B104" s="41" t="n">
        <v>46320</v>
      </c>
      <c r="C104" s="35" t="n">
        <v>3</v>
      </c>
      <c r="D104" s="33" t="inlineStr">
        <is>
          <t>Movies, Music and Games</t>
        </is>
      </c>
      <c r="E104" s="36" t="inlineStr">
        <is>
          <t>How many Oscars did Titanic (1997) win?</t>
        </is>
      </c>
      <c r="F104" s="42" t="n">
        <v>11</v>
      </c>
      <c r="G104" s="33" t="inlineStr">
        <is>
          <t>Oscars</t>
        </is>
      </c>
      <c r="H104" s="35" t="inlineStr">
        <is>
          <t>Medium</t>
        </is>
      </c>
      <c r="I104" s="33" t="inlineStr">
        <is>
          <t>Academy of Motion Picture Arts and Sciences</t>
        </is>
      </c>
      <c r="J104" s="35" t="n"/>
      <c r="K104" s="33" t="n"/>
      <c r="L104" s="35">
        <f>COUNTIFS($A$2:$A$1501,A104,$D$2:$D$1501,D104)</f>
        <v/>
      </c>
    </row>
    <row r="105" ht="23.85" customHeight="1" s="26">
      <c r="A105" s="35" t="n">
        <v>21</v>
      </c>
      <c r="B105" s="41" t="n">
        <v>46320</v>
      </c>
      <c r="C105" s="35" t="n">
        <v>4</v>
      </c>
      <c r="D105" s="33" t="inlineStr">
        <is>
          <t>Sports</t>
        </is>
      </c>
      <c r="E105" s="36" t="inlineStr">
        <is>
          <t>How wide is the hole on a golf green?</t>
        </is>
      </c>
      <c r="F105" s="42" t="n">
        <v>108</v>
      </c>
      <c r="G105" s="33" t="inlineStr">
        <is>
          <t>mm</t>
        </is>
      </c>
      <c r="H105" s="35" t="inlineStr">
        <is>
          <t>Hard</t>
        </is>
      </c>
      <c r="I105" s="33" t="inlineStr">
        <is>
          <t>R&amp;A / USGA Rules</t>
        </is>
      </c>
      <c r="J105" s="35" t="n"/>
      <c r="K105" s="33" t="n"/>
      <c r="L105" s="35">
        <f>COUNTIFS($A$2:$A$1501,A105,$D$2:$D$1501,D105)</f>
        <v/>
      </c>
    </row>
    <row r="106" ht="23.85" customHeight="1" s="26">
      <c r="A106" s="35" t="n">
        <v>21</v>
      </c>
      <c r="B106" s="41" t="n">
        <v>46320</v>
      </c>
      <c r="C106" s="35" t="n">
        <v>5</v>
      </c>
      <c r="D106" s="33" t="inlineStr">
        <is>
          <t>Distance of the Day</t>
        </is>
      </c>
      <c r="E106" s="36" t="inlineStr">
        <is>
          <t>How far is it in a straight line from Iqaluit to Bangkok?</t>
        </is>
      </c>
      <c r="F106" s="42" t="n">
        <v>11350</v>
      </c>
      <c r="G106" s="33" t="inlineStr">
        <is>
          <t>km</t>
        </is>
      </c>
      <c r="H106" s="35" t="inlineStr">
        <is>
          <t>Hard</t>
        </is>
      </c>
      <c r="I106" s="33" t="inlineStr">
        <is>
          <t>Computed great-circle distance (city centre to city centre)</t>
        </is>
      </c>
      <c r="J106" s="35" t="n"/>
      <c r="K106" s="33" t="n"/>
      <c r="L106" s="35">
        <f>COUNTIFS($A$2:$A$1501,A106,$D$2:$D$1501,D106)</f>
        <v/>
      </c>
    </row>
    <row r="107" ht="23.85" customHeight="1" s="26">
      <c r="A107" s="43" t="n">
        <v>22</v>
      </c>
      <c r="B107" s="44" t="n">
        <v>46321</v>
      </c>
      <c r="C107" s="43" t="n">
        <v>1</v>
      </c>
      <c r="D107" s="45" t="inlineStr">
        <is>
          <t>Animals and Nature</t>
        </is>
      </c>
      <c r="E107" s="46" t="inlineStr">
        <is>
          <t>How hot can a lightning bolt get?</t>
        </is>
      </c>
      <c r="F107" s="47" t="n">
        <v>30000</v>
      </c>
      <c r="G107" s="45" t="inlineStr">
        <is>
          <t>°C</t>
        </is>
      </c>
      <c r="H107" s="43" t="inlineStr">
        <is>
          <t>Medium</t>
        </is>
      </c>
      <c r="I107" s="45" t="inlineStr">
        <is>
          <t>NOAA</t>
        </is>
      </c>
      <c r="J107" s="43" t="n"/>
      <c r="K107" s="45" t="n"/>
      <c r="L107" s="43">
        <f>COUNTIFS($A$2:$A$1501,A107,$D$2:$D$1501,D107)</f>
        <v/>
      </c>
    </row>
    <row r="108" ht="23.85" customHeight="1" s="26">
      <c r="A108" s="43" t="n">
        <v>22</v>
      </c>
      <c r="B108" s="44" t="n">
        <v>46321</v>
      </c>
      <c r="C108" s="43" t="n">
        <v>2</v>
      </c>
      <c r="D108" s="45" t="inlineStr">
        <is>
          <t>History</t>
        </is>
      </c>
      <c r="E108" s="46" t="inlineStr">
        <is>
          <t>How many terracotta warriors are estimated to guard the tomb of China's first emperor?</t>
        </is>
      </c>
      <c r="F108" s="47" t="n">
        <v>8000</v>
      </c>
      <c r="G108" s="45" t="inlineStr">
        <is>
          <t>warriors</t>
        </is>
      </c>
      <c r="H108" s="43" t="inlineStr">
        <is>
          <t>Medium</t>
        </is>
      </c>
      <c r="I108" s="45" t="inlineStr">
        <is>
          <t>Britannica / national archives</t>
        </is>
      </c>
      <c r="J108" s="43" t="n"/>
      <c r="K108" s="45" t="n"/>
      <c r="L108" s="43">
        <f>COUNTIFS($A$2:$A$1501,A108,$D$2:$D$1501,D108)</f>
        <v/>
      </c>
    </row>
    <row r="109" ht="23.85" customHeight="1" s="26">
      <c r="A109" s="43" t="n">
        <v>22</v>
      </c>
      <c r="B109" s="44" t="n">
        <v>46321</v>
      </c>
      <c r="C109" s="43" t="n">
        <v>3</v>
      </c>
      <c r="D109" s="45" t="inlineStr">
        <is>
          <t>Space and Science</t>
        </is>
      </c>
      <c r="E109" s="46" t="inlineStr">
        <is>
          <t>At what temperature does iron melt?</t>
        </is>
      </c>
      <c r="F109" s="47" t="n">
        <v>1538</v>
      </c>
      <c r="G109" s="45" t="inlineStr">
        <is>
          <t>°C</t>
        </is>
      </c>
      <c r="H109" s="43" t="inlineStr">
        <is>
          <t>Hard</t>
        </is>
      </c>
      <c r="I109" s="45" t="inlineStr">
        <is>
          <t>CRC Handbook</t>
        </is>
      </c>
      <c r="J109" s="43" t="n"/>
      <c r="K109" s="45" t="n"/>
      <c r="L109" s="43">
        <f>COUNTIFS($A$2:$A$1501,A109,$D$2:$D$1501,D109)</f>
        <v/>
      </c>
    </row>
    <row r="110" ht="23.85" customHeight="1" s="26">
      <c r="A110" s="43" t="n">
        <v>22</v>
      </c>
      <c r="B110" s="44" t="n">
        <v>46321</v>
      </c>
      <c r="C110" s="43" t="n">
        <v>4</v>
      </c>
      <c r="D110" s="45" t="inlineStr">
        <is>
          <t>Canada</t>
        </is>
      </c>
      <c r="E110" s="46" t="inlineStr">
        <is>
          <t>How big is Quebec?</t>
        </is>
      </c>
      <c r="F110" s="47" t="n">
        <v>1542056</v>
      </c>
      <c r="G110" s="45" t="inlineStr">
        <is>
          <t>km²</t>
        </is>
      </c>
      <c r="H110" s="43" t="inlineStr">
        <is>
          <t>Hard</t>
        </is>
      </c>
      <c r="I110" s="45" t="inlineStr">
        <is>
          <t>Statistics Canada</t>
        </is>
      </c>
      <c r="J110" s="43" t="n"/>
      <c r="K110" s="45" t="n"/>
      <c r="L110" s="43">
        <f>COUNTIFS($A$2:$A$1501,A110,$D$2:$D$1501,D110)</f>
        <v/>
      </c>
    </row>
    <row r="111" ht="23.85" customHeight="1" s="26">
      <c r="A111" s="43" t="n">
        <v>22</v>
      </c>
      <c r="B111" s="44" t="n">
        <v>46321</v>
      </c>
      <c r="C111" s="43" t="n">
        <v>5</v>
      </c>
      <c r="D111" s="45" t="inlineStr">
        <is>
          <t>Distance of the Day</t>
        </is>
      </c>
      <c r="E111" s="46" t="inlineStr">
        <is>
          <t>How far is it in a straight line from Mexico City to Madrid?</t>
        </is>
      </c>
      <c r="F111" s="47" t="n">
        <v>9060</v>
      </c>
      <c r="G111" s="45" t="inlineStr">
        <is>
          <t>km</t>
        </is>
      </c>
      <c r="H111" s="43" t="inlineStr">
        <is>
          <t>Hard</t>
        </is>
      </c>
      <c r="I111" s="45" t="inlineStr">
        <is>
          <t>Computed great-circle distance (city centre to city centre)</t>
        </is>
      </c>
      <c r="J111" s="43" t="n"/>
      <c r="K111" s="45" t="n"/>
      <c r="L111" s="43">
        <f>COUNTIFS($A$2:$A$1501,A111,$D$2:$D$1501,D111)</f>
        <v/>
      </c>
    </row>
    <row r="112" ht="23.85" customHeight="1" s="26">
      <c r="A112" s="35" t="n">
        <v>23</v>
      </c>
      <c r="B112" s="41" t="n">
        <v>46322</v>
      </c>
      <c r="C112" s="35" t="n">
        <v>1</v>
      </c>
      <c r="D112" s="33" t="inlineStr">
        <is>
          <t>Movies, Music and Games</t>
        </is>
      </c>
      <c r="E112" s="36" t="inlineStr">
        <is>
          <t>How many Pokémon were in the original Pokémon Red and Blue?</t>
        </is>
      </c>
      <c r="F112" s="42" t="n">
        <v>151</v>
      </c>
      <c r="G112" s="33" t="inlineStr">
        <is>
          <t>Pokémon</t>
        </is>
      </c>
      <c r="H112" s="35" t="inlineStr">
        <is>
          <t>Easy</t>
        </is>
      </c>
      <c r="I112" s="33" t="inlineStr">
        <is>
          <t>IMDb / official records / Guinness World Records</t>
        </is>
      </c>
      <c r="J112" s="35" t="n"/>
      <c r="K112" s="33" t="n"/>
      <c r="L112" s="35">
        <f>COUNTIFS($A$2:$A$1501,A112,$D$2:$D$1501,D112)</f>
        <v/>
      </c>
    </row>
    <row r="113" ht="23.85" customHeight="1" s="26">
      <c r="A113" s="35" t="n">
        <v>23</v>
      </c>
      <c r="B113" s="41" t="n">
        <v>46322</v>
      </c>
      <c r="C113" s="35" t="n">
        <v>2</v>
      </c>
      <c r="D113" s="33" t="inlineStr">
        <is>
          <t>Buildings and Engineering</t>
        </is>
      </c>
      <c r="E113" s="36" t="inlineStr">
        <is>
          <t>How many spectators could the Colosseum in Rome hold?</t>
        </is>
      </c>
      <c r="F113" s="42" t="n">
        <v>50000</v>
      </c>
      <c r="G113" s="33" t="inlineStr">
        <is>
          <t>people</t>
        </is>
      </c>
      <c r="H113" s="35" t="inlineStr">
        <is>
          <t>Medium</t>
        </is>
      </c>
      <c r="I113" s="33" t="inlineStr">
        <is>
          <t>Official operator sites / CTBUH / Britannica</t>
        </is>
      </c>
      <c r="J113" s="35" t="n"/>
      <c r="K113" s="33" t="n"/>
      <c r="L113" s="35">
        <f>COUNTIFS($A$2:$A$1501,A113,$D$2:$D$1501,D113)</f>
        <v/>
      </c>
    </row>
    <row r="114" ht="23.85" customHeight="1" s="26">
      <c r="A114" s="35" t="n">
        <v>23</v>
      </c>
      <c r="B114" s="41" t="n">
        <v>46322</v>
      </c>
      <c r="C114" s="35" t="n">
        <v>3</v>
      </c>
      <c r="D114" s="33" t="inlineStr">
        <is>
          <t>Geography</t>
        </is>
      </c>
      <c r="E114" s="36" t="inlineStr">
        <is>
          <t>What is the average depth of the world's oceans?</t>
        </is>
      </c>
      <c r="F114" s="42" t="n">
        <v>3682</v>
      </c>
      <c r="G114" s="33" t="inlineStr">
        <is>
          <t>metres</t>
        </is>
      </c>
      <c r="H114" s="35" t="inlineStr">
        <is>
          <t>Hard</t>
        </is>
      </c>
      <c r="I114" s="33" t="inlineStr">
        <is>
          <t>NOAA</t>
        </is>
      </c>
      <c r="J114" s="35" t="n"/>
      <c r="K114" s="33" t="n"/>
      <c r="L114" s="35">
        <f>COUNTIFS($A$2:$A$1501,A114,$D$2:$D$1501,D114)</f>
        <v/>
      </c>
    </row>
    <row r="115" ht="23.85" customHeight="1" s="26">
      <c r="A115" s="35" t="n">
        <v>23</v>
      </c>
      <c r="B115" s="41" t="n">
        <v>46322</v>
      </c>
      <c r="C115" s="35" t="n">
        <v>4</v>
      </c>
      <c r="D115" s="33" t="inlineStr">
        <is>
          <t>Sports</t>
        </is>
      </c>
      <c r="E115" s="36" t="inlineStr">
        <is>
          <t>How many points did Michael Jordan score in his NBA regular-season career?</t>
        </is>
      </c>
      <c r="F115" s="42" t="n">
        <v>32292</v>
      </c>
      <c r="G115" s="33" t="inlineStr">
        <is>
          <t>points</t>
        </is>
      </c>
      <c r="H115" s="35" t="inlineStr">
        <is>
          <t>Hard</t>
        </is>
      </c>
      <c r="I115" s="33" t="inlineStr">
        <is>
          <t>NBA.com</t>
        </is>
      </c>
      <c r="J115" s="35" t="n"/>
      <c r="K115" s="33" t="n"/>
      <c r="L115" s="35">
        <f>COUNTIFS($A$2:$A$1501,A115,$D$2:$D$1501,D115)</f>
        <v/>
      </c>
    </row>
    <row r="116" ht="23.85" customHeight="1" s="26">
      <c r="A116" s="35" t="n">
        <v>23</v>
      </c>
      <c r="B116" s="41" t="n">
        <v>46322</v>
      </c>
      <c r="C116" s="35" t="n">
        <v>5</v>
      </c>
      <c r="D116" s="33" t="inlineStr">
        <is>
          <t>Distance of the Day</t>
        </is>
      </c>
      <c r="E116" s="36" t="inlineStr">
        <is>
          <t>How far is it in a straight line from Edmonton to Nairobi?</t>
        </is>
      </c>
      <c r="F116" s="42" t="n">
        <v>13600</v>
      </c>
      <c r="G116" s="33" t="inlineStr">
        <is>
          <t>km</t>
        </is>
      </c>
      <c r="H116" s="35" t="inlineStr">
        <is>
          <t>Hard</t>
        </is>
      </c>
      <c r="I116" s="33" t="inlineStr">
        <is>
          <t>Computed great-circle distance (city centre to city centre)</t>
        </is>
      </c>
      <c r="J116" s="35" t="n"/>
      <c r="K116" s="33" t="n"/>
      <c r="L116" s="35">
        <f>COUNTIFS($A$2:$A$1501,A116,$D$2:$D$1501,D116)</f>
        <v/>
      </c>
    </row>
    <row r="117" ht="23.85" customHeight="1" s="26">
      <c r="A117" s="43" t="n">
        <v>24</v>
      </c>
      <c r="B117" s="44" t="n">
        <v>46323</v>
      </c>
      <c r="C117" s="43" t="n">
        <v>1</v>
      </c>
      <c r="D117" s="45" t="inlineStr">
        <is>
          <t>Space and Science</t>
        </is>
      </c>
      <c r="E117" s="46" t="inlineStr">
        <is>
          <t>How hot is the surface of Venus?</t>
        </is>
      </c>
      <c r="F117" s="47" t="n">
        <v>465</v>
      </c>
      <c r="G117" s="45" t="inlineStr">
        <is>
          <t>°C</t>
        </is>
      </c>
      <c r="H117" s="43" t="inlineStr">
        <is>
          <t>Medium</t>
        </is>
      </c>
      <c r="I117" s="45" t="inlineStr">
        <is>
          <t>NASA</t>
        </is>
      </c>
      <c r="J117" s="43" t="n"/>
      <c r="K117" s="45" t="n"/>
      <c r="L117" s="43">
        <f>COUNTIFS($A$2:$A$1501,A117,$D$2:$D$1501,D117)</f>
        <v/>
      </c>
    </row>
    <row r="118" ht="23.85" customHeight="1" s="26">
      <c r="A118" s="43" t="n">
        <v>24</v>
      </c>
      <c r="B118" s="44" t="n">
        <v>46323</v>
      </c>
      <c r="C118" s="43" t="n">
        <v>2</v>
      </c>
      <c r="D118" s="45" t="inlineStr">
        <is>
          <t>History</t>
        </is>
      </c>
      <c r="E118" s="46" t="inlineStr">
        <is>
          <t>How many people signed the US Declaration of Independence?</t>
        </is>
      </c>
      <c r="F118" s="47" t="n">
        <v>56</v>
      </c>
      <c r="G118" s="45" t="inlineStr">
        <is>
          <t>signers</t>
        </is>
      </c>
      <c r="H118" s="43" t="inlineStr">
        <is>
          <t>Medium</t>
        </is>
      </c>
      <c r="I118" s="45" t="inlineStr">
        <is>
          <t>US National Archives</t>
        </is>
      </c>
      <c r="J118" s="43" t="n"/>
      <c r="K118" s="45" t="n"/>
      <c r="L118" s="43">
        <f>COUNTIFS($A$2:$A$1501,A118,$D$2:$D$1501,D118)</f>
        <v/>
      </c>
    </row>
    <row r="119" ht="23.85" customHeight="1" s="26">
      <c r="A119" s="43" t="n">
        <v>24</v>
      </c>
      <c r="B119" s="44" t="n">
        <v>46323</v>
      </c>
      <c r="C119" s="43" t="n">
        <v>3</v>
      </c>
      <c r="D119" s="45" t="inlineStr">
        <is>
          <t>Animals and Nature</t>
        </is>
      </c>
      <c r="E119" s="46" t="inlineStr">
        <is>
          <t>How old is Methuselah, one of the world's oldest known trees?</t>
        </is>
      </c>
      <c r="F119" s="47" t="n">
        <v>4850</v>
      </c>
      <c r="G119" s="45" t="inlineStr">
        <is>
          <t>years</t>
        </is>
      </c>
      <c r="H119" s="43" t="inlineStr">
        <is>
          <t>Hard</t>
        </is>
      </c>
      <c r="I119" s="45" t="inlineStr">
        <is>
          <t>Britannica / National Geographic / Guinness World Records</t>
        </is>
      </c>
      <c r="J119" s="43" t="n"/>
      <c r="K119" s="45" t="n"/>
      <c r="L119" s="43">
        <f>COUNTIFS($A$2:$A$1501,A119,$D$2:$D$1501,D119)</f>
        <v/>
      </c>
    </row>
    <row r="120" ht="23.85" customHeight="1" s="26">
      <c r="A120" s="43" t="n">
        <v>24</v>
      </c>
      <c r="B120" s="44" t="n">
        <v>46323</v>
      </c>
      <c r="C120" s="43" t="n">
        <v>4</v>
      </c>
      <c r="D120" s="45" t="inlineStr">
        <is>
          <t>Human Body</t>
        </is>
      </c>
      <c r="E120" s="46" t="inlineStr">
        <is>
          <t>How much blood does the heart pump in a day?</t>
        </is>
      </c>
      <c r="F120" s="47" t="n">
        <v>7500</v>
      </c>
      <c r="G120" s="45" t="inlineStr">
        <is>
          <t>litres</t>
        </is>
      </c>
      <c r="H120" s="43" t="inlineStr">
        <is>
          <t>Hard</t>
        </is>
      </c>
      <c r="I120" s="45" t="inlineStr">
        <is>
          <t>Cleveland Clinic / NIH / Guinness World Records</t>
        </is>
      </c>
      <c r="J120" s="43" t="n"/>
      <c r="K120" s="45" t="n"/>
      <c r="L120" s="43">
        <f>COUNTIFS($A$2:$A$1501,A120,$D$2:$D$1501,D120)</f>
        <v/>
      </c>
    </row>
    <row r="121" ht="23.85" customHeight="1" s="26">
      <c r="A121" s="43" t="n">
        <v>24</v>
      </c>
      <c r="B121" s="44" t="n">
        <v>46323</v>
      </c>
      <c r="C121" s="43" t="n">
        <v>5</v>
      </c>
      <c r="D121" s="45" t="inlineStr">
        <is>
          <t>Distance of the Day</t>
        </is>
      </c>
      <c r="E121" s="46" t="inlineStr">
        <is>
          <t>How far is it in a straight line from New York to Rome?</t>
        </is>
      </c>
      <c r="F121" s="47" t="n">
        <v>6890</v>
      </c>
      <c r="G121" s="45" t="inlineStr">
        <is>
          <t>km</t>
        </is>
      </c>
      <c r="H121" s="43" t="inlineStr">
        <is>
          <t>Medium</t>
        </is>
      </c>
      <c r="I121" s="45" t="inlineStr">
        <is>
          <t>Computed great-circle distance (city centre to city centre)</t>
        </is>
      </c>
      <c r="J121" s="43" t="n"/>
      <c r="K121" s="45" t="n"/>
      <c r="L121" s="43">
        <f>COUNTIFS($A$2:$A$1501,A121,$D$2:$D$1501,D121)</f>
        <v/>
      </c>
    </row>
    <row r="122" ht="23.85" customHeight="1" s="26">
      <c r="A122" s="35" t="n">
        <v>25</v>
      </c>
      <c r="B122" s="41" t="n">
        <v>46324</v>
      </c>
      <c r="C122" s="35" t="n">
        <v>1</v>
      </c>
      <c r="D122" s="33" t="inlineStr">
        <is>
          <t>Buildings and Engineering</t>
        </is>
      </c>
      <c r="E122" s="36" t="inlineStr">
        <is>
          <t>How tall is Seattle's Space Needle?</t>
        </is>
      </c>
      <c r="F122" s="42" t="n">
        <v>184</v>
      </c>
      <c r="G122" s="33" t="inlineStr">
        <is>
          <t>metres</t>
        </is>
      </c>
      <c r="H122" s="35" t="inlineStr">
        <is>
          <t>Medium</t>
        </is>
      </c>
      <c r="I122" s="33" t="inlineStr">
        <is>
          <t>Space Needle</t>
        </is>
      </c>
      <c r="J122" s="35" t="n"/>
      <c r="K122" s="33" t="n"/>
      <c r="L122" s="35">
        <f>COUNTIFS($A$2:$A$1501,A122,$D$2:$D$1501,D122)</f>
        <v/>
      </c>
    </row>
    <row r="123" ht="23.85" customHeight="1" s="26">
      <c r="A123" s="35" t="n">
        <v>25</v>
      </c>
      <c r="B123" s="41" t="n">
        <v>46324</v>
      </c>
      <c r="C123" s="35" t="n">
        <v>2</v>
      </c>
      <c r="D123" s="33" t="inlineStr">
        <is>
          <t>Sports</t>
        </is>
      </c>
      <c r="E123" s="36" t="inlineStr">
        <is>
          <t>How many regular-season points did Wayne Gretzky finish his NHL career with?</t>
        </is>
      </c>
      <c r="F123" s="42" t="n">
        <v>2857</v>
      </c>
      <c r="G123" s="33" t="inlineStr">
        <is>
          <t>points</t>
        </is>
      </c>
      <c r="H123" s="35" t="inlineStr">
        <is>
          <t>Medium</t>
        </is>
      </c>
      <c r="I123" s="33" t="inlineStr">
        <is>
          <t>NHL Records</t>
        </is>
      </c>
      <c r="J123" s="35" t="n"/>
      <c r="K123" s="33" t="n"/>
      <c r="L123" s="35">
        <f>COUNTIFS($A$2:$A$1501,A123,$D$2:$D$1501,D123)</f>
        <v/>
      </c>
    </row>
    <row r="124" ht="23.85" customHeight="1" s="26">
      <c r="A124" s="35" t="n">
        <v>25</v>
      </c>
      <c r="B124" s="41" t="n">
        <v>46324</v>
      </c>
      <c r="C124" s="35" t="n">
        <v>3</v>
      </c>
      <c r="D124" s="33" t="inlineStr">
        <is>
          <t>Movies, Music and Games</t>
        </is>
      </c>
      <c r="E124" s="36" t="inlineStr">
        <is>
          <t>How many episodes of The Office (US) were made?</t>
        </is>
      </c>
      <c r="F124" s="42" t="n">
        <v>201</v>
      </c>
      <c r="G124" s="33" t="inlineStr">
        <is>
          <t>episodes</t>
        </is>
      </c>
      <c r="H124" s="35" t="inlineStr">
        <is>
          <t>Medium</t>
        </is>
      </c>
      <c r="I124" s="33" t="inlineStr">
        <is>
          <t>IMDb / official records / Guinness World Records</t>
        </is>
      </c>
      <c r="J124" s="35" t="n"/>
      <c r="K124" s="33" t="n"/>
      <c r="L124" s="35">
        <f>COUNTIFS($A$2:$A$1501,A124,$D$2:$D$1501,D124)</f>
        <v/>
      </c>
    </row>
    <row r="125" ht="23.85" customHeight="1" s="26">
      <c r="A125" s="35" t="n">
        <v>25</v>
      </c>
      <c r="B125" s="41" t="n">
        <v>46324</v>
      </c>
      <c r="C125" s="35" t="n">
        <v>4</v>
      </c>
      <c r="D125" s="33" t="inlineStr">
        <is>
          <t>Geography</t>
        </is>
      </c>
      <c r="E125" s="36" t="inlineStr">
        <is>
          <t>How big is the Caspian Sea?</t>
        </is>
      </c>
      <c r="F125" s="42" t="n">
        <v>371000</v>
      </c>
      <c r="G125" s="33" t="inlineStr">
        <is>
          <t>km²</t>
        </is>
      </c>
      <c r="H125" s="35" t="inlineStr">
        <is>
          <t>Hard</t>
        </is>
      </c>
      <c r="I125" s="33" t="inlineStr">
        <is>
          <t>Britannica / national survey agencies</t>
        </is>
      </c>
      <c r="J125" s="35" t="n"/>
      <c r="K125" s="33" t="n"/>
      <c r="L125" s="35">
        <f>COUNTIFS($A$2:$A$1501,A125,$D$2:$D$1501,D125)</f>
        <v/>
      </c>
    </row>
    <row r="126" ht="23.85" customHeight="1" s="26">
      <c r="A126" s="35" t="n">
        <v>25</v>
      </c>
      <c r="B126" s="41" t="n">
        <v>46324</v>
      </c>
      <c r="C126" s="35" t="n">
        <v>5</v>
      </c>
      <c r="D126" s="33" t="inlineStr">
        <is>
          <t>Distance of the Day</t>
        </is>
      </c>
      <c r="E126" s="36" t="inlineStr">
        <is>
          <t>How far is it in a straight line from Halifax to Paris?</t>
        </is>
      </c>
      <c r="F126" s="42" t="n">
        <v>4890</v>
      </c>
      <c r="G126" s="33" t="inlineStr">
        <is>
          <t>km</t>
        </is>
      </c>
      <c r="H126" s="35" t="inlineStr">
        <is>
          <t>Medium</t>
        </is>
      </c>
      <c r="I126" s="33" t="inlineStr">
        <is>
          <t>Computed great-circle distance (city centre to city centre)</t>
        </is>
      </c>
      <c r="J126" s="35" t="n"/>
      <c r="K126" s="33" t="n"/>
      <c r="L126" s="35">
        <f>COUNTIFS($A$2:$A$1501,A126,$D$2:$D$1501,D126)</f>
        <v/>
      </c>
    </row>
    <row r="127" ht="23.85" customHeight="1" s="26">
      <c r="A127" s="43" t="n">
        <v>26</v>
      </c>
      <c r="B127" s="44" t="n">
        <v>46325</v>
      </c>
      <c r="C127" s="43" t="n">
        <v>1</v>
      </c>
      <c r="D127" s="45" t="inlineStr">
        <is>
          <t>Canada</t>
        </is>
      </c>
      <c r="E127" s="46" t="inlineStr">
        <is>
          <t>How long is the CFL playing field between the goal lines?</t>
        </is>
      </c>
      <c r="F127" s="47" t="n">
        <v>110</v>
      </c>
      <c r="G127" s="45" t="inlineStr">
        <is>
          <t>yards</t>
        </is>
      </c>
      <c r="H127" s="43" t="inlineStr">
        <is>
          <t>Medium</t>
        </is>
      </c>
      <c r="I127" s="45" t="inlineStr">
        <is>
          <t>CFL Rulebook</t>
        </is>
      </c>
      <c r="J127" s="43" t="n"/>
      <c r="K127" s="45" t="n"/>
      <c r="L127" s="43">
        <f>COUNTIFS($A$2:$A$1501,A127,$D$2:$D$1501,D127)</f>
        <v/>
      </c>
    </row>
    <row r="128" ht="23.85" customHeight="1" s="26">
      <c r="A128" s="43" t="n">
        <v>26</v>
      </c>
      <c r="B128" s="44" t="n">
        <v>46325</v>
      </c>
      <c r="C128" s="43" t="n">
        <v>2</v>
      </c>
      <c r="D128" s="45" t="inlineStr">
        <is>
          <t>Human Body</t>
        </is>
      </c>
      <c r="E128" s="46" t="inlineStr">
        <is>
          <t>How much does human hair grow in a year?</t>
        </is>
      </c>
      <c r="F128" s="47" t="n">
        <v>15</v>
      </c>
      <c r="G128" s="45" t="inlineStr">
        <is>
          <t>cm</t>
        </is>
      </c>
      <c r="H128" s="43" t="inlineStr">
        <is>
          <t>Medium</t>
        </is>
      </c>
      <c r="I128" s="45" t="inlineStr">
        <is>
          <t>Cleveland Clinic / NIH / Guinness World Records</t>
        </is>
      </c>
      <c r="J128" s="43" t="n"/>
      <c r="K128" s="45" t="n"/>
      <c r="L128" s="43">
        <f>COUNTIFS($A$2:$A$1501,A128,$D$2:$D$1501,D128)</f>
        <v/>
      </c>
    </row>
    <row r="129" ht="23.85" customHeight="1" s="26">
      <c r="A129" s="43" t="n">
        <v>26</v>
      </c>
      <c r="B129" s="44" t="n">
        <v>46325</v>
      </c>
      <c r="C129" s="43" t="n">
        <v>3</v>
      </c>
      <c r="D129" s="45" t="inlineStr">
        <is>
          <t>Space and Science</t>
        </is>
      </c>
      <c r="E129" s="46" t="inlineStr">
        <is>
          <t>How many hours does sunlight take to reach Pluto, on average?</t>
        </is>
      </c>
      <c r="F129" s="47" t="n">
        <v>5.5</v>
      </c>
      <c r="G129" s="45" t="inlineStr">
        <is>
          <t>hours</t>
        </is>
      </c>
      <c r="H129" s="43" t="inlineStr">
        <is>
          <t>Hard</t>
        </is>
      </c>
      <c r="I129" s="45" t="inlineStr">
        <is>
          <t>NASA</t>
        </is>
      </c>
      <c r="J129" s="43" t="n"/>
      <c r="K129" s="45" t="n"/>
      <c r="L129" s="43">
        <f>COUNTIFS($A$2:$A$1501,A129,$D$2:$D$1501,D129)</f>
        <v/>
      </c>
    </row>
    <row r="130" ht="23.85" customHeight="1" s="26">
      <c r="A130" s="43" t="n">
        <v>26</v>
      </c>
      <c r="B130" s="44" t="n">
        <v>46325</v>
      </c>
      <c r="C130" s="43" t="n">
        <v>4</v>
      </c>
      <c r="D130" s="45" t="inlineStr">
        <is>
          <t>Animals and Nature</t>
        </is>
      </c>
      <c r="E130" s="46" t="inlineStr">
        <is>
          <t>How heavy is a blue whale's heart?</t>
        </is>
      </c>
      <c r="F130" s="47" t="n">
        <v>180</v>
      </c>
      <c r="G130" s="45" t="inlineStr">
        <is>
          <t>kg</t>
        </is>
      </c>
      <c r="H130" s="43" t="inlineStr">
        <is>
          <t>Hard</t>
        </is>
      </c>
      <c r="I130" s="45" t="inlineStr">
        <is>
          <t>Britannica / National Geographic / Guinness World Records</t>
        </is>
      </c>
      <c r="J130" s="43" t="n"/>
      <c r="K130" s="45" t="n"/>
      <c r="L130" s="43">
        <f>COUNTIFS($A$2:$A$1501,A130,$D$2:$D$1501,D130)</f>
        <v/>
      </c>
    </row>
    <row r="131" ht="23.85" customHeight="1" s="26">
      <c r="A131" s="43" t="n">
        <v>26</v>
      </c>
      <c r="B131" s="44" t="n">
        <v>46325</v>
      </c>
      <c r="C131" s="43" t="n">
        <v>5</v>
      </c>
      <c r="D131" s="45" t="inlineStr">
        <is>
          <t>Distance of the Day</t>
        </is>
      </c>
      <c r="E131" s="46" t="inlineStr">
        <is>
          <t>How far is it in a straight line from Cape Town to Tokyo?</t>
        </is>
      </c>
      <c r="F131" s="47" t="n">
        <v>14730</v>
      </c>
      <c r="G131" s="45" t="inlineStr">
        <is>
          <t>km</t>
        </is>
      </c>
      <c r="H131" s="43" t="inlineStr">
        <is>
          <t>Hard</t>
        </is>
      </c>
      <c r="I131" s="45" t="inlineStr">
        <is>
          <t>Computed great-circle distance (city centre to city centre)</t>
        </is>
      </c>
      <c r="J131" s="43" t="n"/>
      <c r="K131" s="45" t="n"/>
      <c r="L131" s="43">
        <f>COUNTIFS($A$2:$A$1501,A131,$D$2:$D$1501,D131)</f>
        <v/>
      </c>
    </row>
    <row r="132" ht="23.85" customHeight="1" s="26">
      <c r="A132" s="35" t="n">
        <v>27</v>
      </c>
      <c r="B132" s="41" t="n">
        <v>46326</v>
      </c>
      <c r="C132" s="35" t="n">
        <v>1</v>
      </c>
      <c r="D132" s="33" t="inlineStr">
        <is>
          <t>Geography</t>
        </is>
      </c>
      <c r="E132" s="36" t="inlineStr">
        <is>
          <t>How tall is Victoria Falls at its highest point?</t>
        </is>
      </c>
      <c r="F132" s="42" t="n">
        <v>108</v>
      </c>
      <c r="G132" s="33" t="inlineStr">
        <is>
          <t>metres</t>
        </is>
      </c>
      <c r="H132" s="35" t="inlineStr">
        <is>
          <t>Medium</t>
        </is>
      </c>
      <c r="I132" s="33" t="inlineStr">
        <is>
          <t>Britannica / national survey agencies</t>
        </is>
      </c>
      <c r="J132" s="35" t="n"/>
      <c r="K132" s="33" t="n"/>
      <c r="L132" s="35">
        <f>COUNTIFS($A$2:$A$1501,A132,$D$2:$D$1501,D132)</f>
        <v/>
      </c>
    </row>
    <row r="133" ht="23.85" customHeight="1" s="26">
      <c r="A133" s="35" t="n">
        <v>27</v>
      </c>
      <c r="B133" s="41" t="n">
        <v>46326</v>
      </c>
      <c r="C133" s="35" t="n">
        <v>2</v>
      </c>
      <c r="D133" s="33" t="inlineStr">
        <is>
          <t>Movies, Music and Games</t>
        </is>
      </c>
      <c r="E133" s="36" t="inlineStr">
        <is>
          <t>How long is Avatar (2009)?</t>
        </is>
      </c>
      <c r="F133" s="42" t="n">
        <v>162</v>
      </c>
      <c r="G133" s="33" t="inlineStr">
        <is>
          <t>minutes</t>
        </is>
      </c>
      <c r="H133" s="35" t="inlineStr">
        <is>
          <t>Medium</t>
        </is>
      </c>
      <c r="I133" s="33" t="inlineStr">
        <is>
          <t>IMDb</t>
        </is>
      </c>
      <c r="J133" s="35" t="n"/>
      <c r="K133" s="33" t="n"/>
      <c r="L133" s="35">
        <f>COUNTIFS($A$2:$A$1501,A133,$D$2:$D$1501,D133)</f>
        <v/>
      </c>
    </row>
    <row r="134" ht="23.85" customHeight="1" s="26">
      <c r="A134" s="35" t="n">
        <v>27</v>
      </c>
      <c r="B134" s="41" t="n">
        <v>46326</v>
      </c>
      <c r="C134" s="35" t="n">
        <v>3</v>
      </c>
      <c r="D134" s="33" t="inlineStr">
        <is>
          <t>Buildings and Engineering</t>
        </is>
      </c>
      <c r="E134" s="36" t="inlineStr">
        <is>
          <t>How long is the Three Gorges Dam?</t>
        </is>
      </c>
      <c r="F134" s="42" t="n">
        <v>2335</v>
      </c>
      <c r="G134" s="33" t="inlineStr">
        <is>
          <t>metres</t>
        </is>
      </c>
      <c r="H134" s="35" t="inlineStr">
        <is>
          <t>Hard</t>
        </is>
      </c>
      <c r="I134" s="33" t="inlineStr">
        <is>
          <t>Official operator sites / CTBUH / Britannica</t>
        </is>
      </c>
      <c r="J134" s="35" t="n"/>
      <c r="K134" s="33" t="n"/>
      <c r="L134" s="35">
        <f>COUNTIFS($A$2:$A$1501,A134,$D$2:$D$1501,D134)</f>
        <v/>
      </c>
    </row>
    <row r="135" ht="23.85" customHeight="1" s="26">
      <c r="A135" s="35" t="n">
        <v>27</v>
      </c>
      <c r="B135" s="41" t="n">
        <v>46326</v>
      </c>
      <c r="C135" s="35" t="n">
        <v>4</v>
      </c>
      <c r="D135" s="33" t="inlineStr">
        <is>
          <t>Sports</t>
        </is>
      </c>
      <c r="E135" s="36" t="inlineStr">
        <is>
          <t>How many points did Kareem Abdul-Jabbar score in his NBA regular-season career?</t>
        </is>
      </c>
      <c r="F135" s="42" t="n">
        <v>38387</v>
      </c>
      <c r="G135" s="33" t="inlineStr">
        <is>
          <t>points</t>
        </is>
      </c>
      <c r="H135" s="35" t="inlineStr">
        <is>
          <t>Hard</t>
        </is>
      </c>
      <c r="I135" s="33" t="inlineStr">
        <is>
          <t>NBA.com</t>
        </is>
      </c>
      <c r="J135" s="35" t="n"/>
      <c r="K135" s="33" t="n"/>
      <c r="L135" s="35">
        <f>COUNTIFS($A$2:$A$1501,A135,$D$2:$D$1501,D135)</f>
        <v/>
      </c>
    </row>
    <row r="136" ht="23.85" customHeight="1" s="26">
      <c r="A136" s="35" t="n">
        <v>27</v>
      </c>
      <c r="B136" s="41" t="n">
        <v>46326</v>
      </c>
      <c r="C136" s="35" t="n">
        <v>5</v>
      </c>
      <c r="D136" s="33" t="inlineStr">
        <is>
          <t>Distance of the Day</t>
        </is>
      </c>
      <c r="E136" s="36" t="inlineStr">
        <is>
          <t>How far is it in a straight line from Iqaluit to Rio de Janeiro?</t>
        </is>
      </c>
      <c r="F136" s="42" t="n">
        <v>9890</v>
      </c>
      <c r="G136" s="33" t="inlineStr">
        <is>
          <t>km</t>
        </is>
      </c>
      <c r="H136" s="35" t="inlineStr">
        <is>
          <t>Hard</t>
        </is>
      </c>
      <c r="I136" s="33" t="inlineStr">
        <is>
          <t>Computed great-circle distance (city centre to city centre)</t>
        </is>
      </c>
      <c r="J136" s="35" t="n"/>
      <c r="K136" s="33" t="n"/>
      <c r="L136" s="35">
        <f>COUNTIFS($A$2:$A$1501,A136,$D$2:$D$1501,D136)</f>
        <v/>
      </c>
    </row>
    <row r="137" ht="23.85" customHeight="1" s="26">
      <c r="A137" s="43" t="n">
        <v>28</v>
      </c>
      <c r="B137" s="44" t="n">
        <v>46327</v>
      </c>
      <c r="C137" s="43" t="n">
        <v>1</v>
      </c>
      <c r="D137" s="45" t="inlineStr">
        <is>
          <t>Canada</t>
        </is>
      </c>
      <c r="E137" s="46" t="inlineStr">
        <is>
          <t>How tall is the Horseshoe Falls at Niagara?</t>
        </is>
      </c>
      <c r="F137" s="47" t="n">
        <v>57</v>
      </c>
      <c r="G137" s="45" t="inlineStr">
        <is>
          <t>metres</t>
        </is>
      </c>
      <c r="H137" s="43" t="inlineStr">
        <is>
          <t>Medium</t>
        </is>
      </c>
      <c r="I137" s="45" t="inlineStr">
        <is>
          <t>Niagara Parks</t>
        </is>
      </c>
      <c r="J137" s="43" t="n"/>
      <c r="K137" s="45" t="n"/>
      <c r="L137" s="43">
        <f>COUNTIFS($A$2:$A$1501,A137,$D$2:$D$1501,D137)</f>
        <v/>
      </c>
    </row>
    <row r="138" ht="23.85" customHeight="1" s="26">
      <c r="A138" s="43" t="n">
        <v>28</v>
      </c>
      <c r="B138" s="44" t="n">
        <v>46327</v>
      </c>
      <c r="C138" s="43" t="n">
        <v>2</v>
      </c>
      <c r="D138" s="45" t="inlineStr">
        <is>
          <t>Space and Science</t>
        </is>
      </c>
      <c r="E138" s="46" t="inlineStr">
        <is>
          <t>How many times heavier is the Sun than Earth?</t>
        </is>
      </c>
      <c r="F138" s="47" t="n">
        <v>333000</v>
      </c>
      <c r="G138" s="45" t="inlineStr">
        <is>
          <t>times</t>
        </is>
      </c>
      <c r="H138" s="43" t="inlineStr">
        <is>
          <t>Hard</t>
        </is>
      </c>
      <c r="I138" s="45" t="inlineStr">
        <is>
          <t>NASA</t>
        </is>
      </c>
      <c r="J138" s="43" t="n"/>
      <c r="K138" s="45" t="n"/>
      <c r="L138" s="43">
        <f>COUNTIFS($A$2:$A$1501,A138,$D$2:$D$1501,D138)</f>
        <v/>
      </c>
    </row>
    <row r="139" ht="23.85" customHeight="1" s="26">
      <c r="A139" s="43" t="n">
        <v>28</v>
      </c>
      <c r="B139" s="44" t="n">
        <v>46327</v>
      </c>
      <c r="C139" s="43" t="n">
        <v>3</v>
      </c>
      <c r="D139" s="45" t="inlineStr">
        <is>
          <t>Animals and Nature</t>
        </is>
      </c>
      <c r="E139" s="46" t="inlineStr">
        <is>
          <t>How many species of bats are there?</t>
        </is>
      </c>
      <c r="F139" s="47" t="n">
        <v>1400</v>
      </c>
      <c r="G139" s="45" t="inlineStr">
        <is>
          <t>species</t>
        </is>
      </c>
      <c r="H139" s="43" t="inlineStr">
        <is>
          <t>Hard</t>
        </is>
      </c>
      <c r="I139" s="45" t="inlineStr">
        <is>
          <t>Britannica / National Geographic / Guinness World Records</t>
        </is>
      </c>
      <c r="J139" s="43" t="n"/>
      <c r="K139" s="45" t="n"/>
      <c r="L139" s="43">
        <f>COUNTIFS($A$2:$A$1501,A139,$D$2:$D$1501,D139)</f>
        <v/>
      </c>
    </row>
    <row r="140" ht="23.85" customHeight="1" s="26">
      <c r="A140" s="43" t="n">
        <v>28</v>
      </c>
      <c r="B140" s="44" t="n">
        <v>46327</v>
      </c>
      <c r="C140" s="43" t="n">
        <v>4</v>
      </c>
      <c r="D140" s="45" t="inlineStr">
        <is>
          <t>History</t>
        </is>
      </c>
      <c r="E140" s="46" t="inlineStr">
        <is>
          <t>How many people lived in Pompeii when Vesuvius erupted?</t>
        </is>
      </c>
      <c r="F140" s="47" t="n">
        <v>11000</v>
      </c>
      <c r="G140" s="45" t="inlineStr">
        <is>
          <t>people</t>
        </is>
      </c>
      <c r="H140" s="43" t="inlineStr">
        <is>
          <t>Hard</t>
        </is>
      </c>
      <c r="I140" s="45" t="inlineStr">
        <is>
          <t>Britannica / national archives</t>
        </is>
      </c>
      <c r="J140" s="43" t="n"/>
      <c r="K140" s="45" t="n"/>
      <c r="L140" s="43">
        <f>COUNTIFS($A$2:$A$1501,A140,$D$2:$D$1501,D140)</f>
        <v/>
      </c>
    </row>
    <row r="141" ht="23.85" customHeight="1" s="26">
      <c r="A141" s="43" t="n">
        <v>28</v>
      </c>
      <c r="B141" s="44" t="n">
        <v>46327</v>
      </c>
      <c r="C141" s="43" t="n">
        <v>5</v>
      </c>
      <c r="D141" s="45" t="inlineStr">
        <is>
          <t>Distance of the Day</t>
        </is>
      </c>
      <c r="E141" s="46" t="inlineStr">
        <is>
          <t>How far is it in a straight line from Chicago to Delhi?</t>
        </is>
      </c>
      <c r="F141" s="47" t="n">
        <v>12020</v>
      </c>
      <c r="G141" s="45" t="inlineStr">
        <is>
          <t>km</t>
        </is>
      </c>
      <c r="H141" s="43" t="inlineStr">
        <is>
          <t>Hard</t>
        </is>
      </c>
      <c r="I141" s="45" t="inlineStr">
        <is>
          <t>Computed great-circle distance (city centre to city centre)</t>
        </is>
      </c>
      <c r="J141" s="43" t="n"/>
      <c r="K141" s="45" t="n"/>
      <c r="L141" s="43">
        <f>COUNTIFS($A$2:$A$1501,A141,$D$2:$D$1501,D141)</f>
        <v/>
      </c>
    </row>
    <row r="142" ht="23.85" customHeight="1" s="26">
      <c r="A142" s="35" t="n">
        <v>29</v>
      </c>
      <c r="B142" s="41" t="n">
        <v>46328</v>
      </c>
      <c r="C142" s="35" t="n">
        <v>1</v>
      </c>
      <c r="D142" s="33" t="inlineStr">
        <is>
          <t>Movies, Music and Games</t>
        </is>
      </c>
      <c r="E142" s="36" t="inlineStr">
        <is>
          <t>How many episodes of Game of Thrones were made?</t>
        </is>
      </c>
      <c r="F142" s="42" t="n">
        <v>73</v>
      </c>
      <c r="G142" s="33" t="inlineStr">
        <is>
          <t>episodes</t>
        </is>
      </c>
      <c r="H142" s="35" t="inlineStr">
        <is>
          <t>Medium</t>
        </is>
      </c>
      <c r="I142" s="33" t="inlineStr">
        <is>
          <t>IMDb / official records / Guinness World Records</t>
        </is>
      </c>
      <c r="J142" s="35" t="n"/>
      <c r="K142" s="33" t="n"/>
      <c r="L142" s="35">
        <f>COUNTIFS($A$2:$A$1501,A142,$D$2:$D$1501,D142)</f>
        <v/>
      </c>
    </row>
    <row r="143" ht="23.85" customHeight="1" s="26">
      <c r="A143" s="35" t="n">
        <v>29</v>
      </c>
      <c r="B143" s="41" t="n">
        <v>46328</v>
      </c>
      <c r="C143" s="35" t="n">
        <v>2</v>
      </c>
      <c r="D143" s="33" t="inlineStr">
        <is>
          <t>Geography</t>
        </is>
      </c>
      <c r="E143" s="36" t="inlineStr">
        <is>
          <t>How many lakes does Finland have (larger than 500 m²)?</t>
        </is>
      </c>
      <c r="F143" s="42" t="n">
        <v>187888</v>
      </c>
      <c r="G143" s="33" t="inlineStr">
        <is>
          <t>lakes</t>
        </is>
      </c>
      <c r="H143" s="35" t="inlineStr">
        <is>
          <t>Hard</t>
        </is>
      </c>
      <c r="I143" s="33" t="inlineStr">
        <is>
          <t>Finnish Environment Institute</t>
        </is>
      </c>
      <c r="J143" s="35" t="n"/>
      <c r="K143" s="33" t="n"/>
      <c r="L143" s="35">
        <f>COUNTIFS($A$2:$A$1501,A143,$D$2:$D$1501,D143)</f>
        <v/>
      </c>
    </row>
    <row r="144" ht="23.85" customHeight="1" s="26">
      <c r="A144" s="35" t="n">
        <v>29</v>
      </c>
      <c r="B144" s="41" t="n">
        <v>46328</v>
      </c>
      <c r="C144" s="35" t="n">
        <v>3</v>
      </c>
      <c r="D144" s="33" t="inlineStr">
        <is>
          <t>Buildings and Engineering</t>
        </is>
      </c>
      <c r="E144" s="36" t="inlineStr">
        <is>
          <t>How many roof tiles cover the Sydney Opera House?</t>
        </is>
      </c>
      <c r="F144" s="42" t="n">
        <v>1056006</v>
      </c>
      <c r="G144" s="33" t="inlineStr">
        <is>
          <t>tiles</t>
        </is>
      </c>
      <c r="H144" s="35" t="inlineStr">
        <is>
          <t>Hard</t>
        </is>
      </c>
      <c r="I144" s="33" t="inlineStr">
        <is>
          <t>Sydney Opera House</t>
        </is>
      </c>
      <c r="J144" s="35" t="n"/>
      <c r="K144" s="33" t="n"/>
      <c r="L144" s="35">
        <f>COUNTIFS($A$2:$A$1501,A144,$D$2:$D$1501,D144)</f>
        <v/>
      </c>
    </row>
    <row r="145" ht="23.85" customHeight="1" s="26">
      <c r="A145" s="35" t="n">
        <v>29</v>
      </c>
      <c r="B145" s="41" t="n">
        <v>46328</v>
      </c>
      <c r="C145" s="35" t="n">
        <v>4</v>
      </c>
      <c r="D145" s="33" t="inlineStr">
        <is>
          <t>Sports</t>
        </is>
      </c>
      <c r="E145" s="36" t="inlineStr">
        <is>
          <t>How many games did Gordie Howe play in the NHL?</t>
        </is>
      </c>
      <c r="F145" s="42" t="n">
        <v>1767</v>
      </c>
      <c r="G145" s="33" t="inlineStr">
        <is>
          <t>games</t>
        </is>
      </c>
      <c r="H145" s="35" t="inlineStr">
        <is>
          <t>Hard</t>
        </is>
      </c>
      <c r="I145" s="33" t="inlineStr">
        <is>
          <t>NHL Records</t>
        </is>
      </c>
      <c r="J145" s="35" t="n"/>
      <c r="K145" s="33" t="n"/>
      <c r="L145" s="35">
        <f>COUNTIFS($A$2:$A$1501,A145,$D$2:$D$1501,D145)</f>
        <v/>
      </c>
    </row>
    <row r="146" ht="23.85" customHeight="1" s="26">
      <c r="A146" s="35" t="n">
        <v>29</v>
      </c>
      <c r="B146" s="41" t="n">
        <v>46328</v>
      </c>
      <c r="C146" s="35" t="n">
        <v>5</v>
      </c>
      <c r="D146" s="33" t="inlineStr">
        <is>
          <t>Distance of the Day</t>
        </is>
      </c>
      <c r="E146" s="36" t="inlineStr">
        <is>
          <t>How far is it in a straight line from Toronto to Rio de Janeiro?</t>
        </is>
      </c>
      <c r="F146" s="42" t="n">
        <v>8270</v>
      </c>
      <c r="G146" s="33" t="inlineStr">
        <is>
          <t>km</t>
        </is>
      </c>
      <c r="H146" s="35" t="inlineStr">
        <is>
          <t>Hard</t>
        </is>
      </c>
      <c r="I146" s="33" t="inlineStr">
        <is>
          <t>Computed great-circle distance (city centre to city centre)</t>
        </is>
      </c>
      <c r="J146" s="35" t="n"/>
      <c r="K146" s="33" t="n"/>
      <c r="L146" s="35">
        <f>COUNTIFS($A$2:$A$1501,A146,$D$2:$D$1501,D146)</f>
        <v/>
      </c>
    </row>
    <row r="147" ht="23.85" customHeight="1" s="26">
      <c r="A147" s="43" t="n">
        <v>30</v>
      </c>
      <c r="B147" s="44" t="n">
        <v>46329</v>
      </c>
      <c r="C147" s="43" t="n">
        <v>1</v>
      </c>
      <c r="D147" s="45" t="inlineStr">
        <is>
          <t>Space and Science</t>
        </is>
      </c>
      <c r="E147" s="46" t="inlineStr">
        <is>
          <t>How many people have walked on the Moon?</t>
        </is>
      </c>
      <c r="F147" s="47" t="n">
        <v>12</v>
      </c>
      <c r="G147" s="45" t="inlineStr">
        <is>
          <t>people</t>
        </is>
      </c>
      <c r="H147" s="43" t="inlineStr">
        <is>
          <t>Easy</t>
        </is>
      </c>
      <c r="I147" s="45" t="inlineStr">
        <is>
          <t>NASA</t>
        </is>
      </c>
      <c r="J147" s="43" t="n"/>
      <c r="K147" s="45" t="n"/>
      <c r="L147" s="43">
        <f>COUNTIFS($A$2:$A$1501,A147,$D$2:$D$1501,D147)</f>
        <v/>
      </c>
    </row>
    <row r="148" ht="23.85" customHeight="1" s="26">
      <c r="A148" s="43" t="n">
        <v>30</v>
      </c>
      <c r="B148" s="44" t="n">
        <v>46329</v>
      </c>
      <c r="C148" s="43" t="n">
        <v>2</v>
      </c>
      <c r="D148" s="45" t="inlineStr">
        <is>
          <t>Human Body</t>
        </is>
      </c>
      <c r="E148" s="46" t="inlineStr">
        <is>
          <t>How long is the small intestine?</t>
        </is>
      </c>
      <c r="F148" s="47" t="n">
        <v>6</v>
      </c>
      <c r="G148" s="45" t="inlineStr">
        <is>
          <t>metres</t>
        </is>
      </c>
      <c r="H148" s="43" t="inlineStr">
        <is>
          <t>Medium</t>
        </is>
      </c>
      <c r="I148" s="45" t="inlineStr">
        <is>
          <t>Cleveland Clinic / NIH / Guinness World Records</t>
        </is>
      </c>
      <c r="J148" s="43" t="n"/>
      <c r="K148" s="45" t="n"/>
      <c r="L148" s="43">
        <f>COUNTIFS($A$2:$A$1501,A148,$D$2:$D$1501,D148)</f>
        <v/>
      </c>
    </row>
    <row r="149" ht="23.85" customHeight="1" s="26">
      <c r="A149" s="43" t="n">
        <v>30</v>
      </c>
      <c r="B149" s="44" t="n">
        <v>46329</v>
      </c>
      <c r="C149" s="43" t="n">
        <v>3</v>
      </c>
      <c r="D149" s="45" t="inlineStr">
        <is>
          <t>Animals and Nature</t>
        </is>
      </c>
      <c r="E149" s="46" t="inlineStr">
        <is>
          <t>How many times per minute can a hummingbird's heart beat?</t>
        </is>
      </c>
      <c r="F149" s="47" t="n">
        <v>1260</v>
      </c>
      <c r="G149" s="45" t="inlineStr">
        <is>
          <t>beats</t>
        </is>
      </c>
      <c r="H149" s="43" t="inlineStr">
        <is>
          <t>Hard</t>
        </is>
      </c>
      <c r="I149" s="45" t="inlineStr">
        <is>
          <t>Britannica / National Geographic / Guinness World Records</t>
        </is>
      </c>
      <c r="J149" s="43" t="n"/>
      <c r="K149" s="45" t="n"/>
      <c r="L149" s="43">
        <f>COUNTIFS($A$2:$A$1501,A149,$D$2:$D$1501,D149)</f>
        <v/>
      </c>
    </row>
    <row r="150" ht="23.85" customHeight="1" s="26">
      <c r="A150" s="43" t="n">
        <v>30</v>
      </c>
      <c r="B150" s="44" t="n">
        <v>46329</v>
      </c>
      <c r="C150" s="43" t="n">
        <v>4</v>
      </c>
      <c r="D150" s="45" t="inlineStr">
        <is>
          <t>History</t>
        </is>
      </c>
      <c r="E150" s="46" t="inlineStr">
        <is>
          <t>How many hours did the full Apollo 11 mission last, from launch to splashdown?</t>
        </is>
      </c>
      <c r="F150" s="47" t="n">
        <v>195</v>
      </c>
      <c r="G150" s="45" t="inlineStr">
        <is>
          <t>hours</t>
        </is>
      </c>
      <c r="H150" s="43" t="inlineStr">
        <is>
          <t>Hard</t>
        </is>
      </c>
      <c r="I150" s="45" t="inlineStr">
        <is>
          <t>NASA</t>
        </is>
      </c>
      <c r="J150" s="43" t="n"/>
      <c r="K150" s="45" t="n"/>
      <c r="L150" s="43">
        <f>COUNTIFS($A$2:$A$1501,A150,$D$2:$D$1501,D150)</f>
        <v/>
      </c>
    </row>
    <row r="151" ht="23.85" customHeight="1" s="26">
      <c r="A151" s="43" t="n">
        <v>30</v>
      </c>
      <c r="B151" s="44" t="n">
        <v>46329</v>
      </c>
      <c r="C151" s="43" t="n">
        <v>5</v>
      </c>
      <c r="D151" s="45" t="inlineStr">
        <is>
          <t>Distance of the Day</t>
        </is>
      </c>
      <c r="E151" s="46" t="inlineStr">
        <is>
          <t>How far is it in a straight line from Paris to Dubai?</t>
        </is>
      </c>
      <c r="F151" s="47" t="n">
        <v>5250</v>
      </c>
      <c r="G151" s="45" t="inlineStr">
        <is>
          <t>km</t>
        </is>
      </c>
      <c r="H151" s="43" t="inlineStr">
        <is>
          <t>Medium</t>
        </is>
      </c>
      <c r="I151" s="45" t="inlineStr">
        <is>
          <t>Computed great-circle distance (city centre to city centre)</t>
        </is>
      </c>
      <c r="J151" s="43" t="n"/>
      <c r="K151" s="45" t="n"/>
      <c r="L151" s="43">
        <f>COUNTIFS($A$2:$A$1501,A151,$D$2:$D$1501,D151)</f>
        <v/>
      </c>
    </row>
    <row r="152" ht="23.85" customHeight="1" s="26">
      <c r="A152" s="35" t="n">
        <v>31</v>
      </c>
      <c r="B152" s="41" t="n">
        <v>46330</v>
      </c>
      <c r="C152" s="35" t="n">
        <v>1</v>
      </c>
      <c r="D152" s="33" t="inlineStr">
        <is>
          <t>Sports</t>
        </is>
      </c>
      <c r="E152" s="36" t="inlineStr">
        <is>
          <t>How long is an NFL field, including both end zones?</t>
        </is>
      </c>
      <c r="F152" s="42" t="n">
        <v>120</v>
      </c>
      <c r="G152" s="33" t="inlineStr">
        <is>
          <t>yards</t>
        </is>
      </c>
      <c r="H152" s="35" t="inlineStr">
        <is>
          <t>Easy</t>
        </is>
      </c>
      <c r="I152" s="33" t="inlineStr">
        <is>
          <t>NFL Rulebook</t>
        </is>
      </c>
      <c r="J152" s="35" t="n"/>
      <c r="K152" s="33" t="n"/>
      <c r="L152" s="35">
        <f>COUNTIFS($A$2:$A$1501,A152,$D$2:$D$1501,D152)</f>
        <v/>
      </c>
    </row>
    <row r="153" ht="23.85" customHeight="1" s="26">
      <c r="A153" s="35" t="n">
        <v>31</v>
      </c>
      <c r="B153" s="41" t="n">
        <v>46330</v>
      </c>
      <c r="C153" s="35" t="n">
        <v>2</v>
      </c>
      <c r="D153" s="33" t="inlineStr">
        <is>
          <t>Geography</t>
        </is>
      </c>
      <c r="E153" s="36" t="inlineStr">
        <is>
          <t>How big is Lake Superior?</t>
        </is>
      </c>
      <c r="F153" s="42" t="n">
        <v>82100</v>
      </c>
      <c r="G153" s="33" t="inlineStr">
        <is>
          <t>km²</t>
        </is>
      </c>
      <c r="H153" s="35" t="inlineStr">
        <is>
          <t>Medium</t>
        </is>
      </c>
      <c r="I153" s="33" t="inlineStr">
        <is>
          <t>Britannica / national survey agencies</t>
        </is>
      </c>
      <c r="J153" s="35" t="n"/>
      <c r="K153" s="33" t="n"/>
      <c r="L153" s="35">
        <f>COUNTIFS($A$2:$A$1501,A153,$D$2:$D$1501,D153)</f>
        <v/>
      </c>
    </row>
    <row r="154" ht="23.85" customHeight="1" s="26">
      <c r="A154" s="35" t="n">
        <v>31</v>
      </c>
      <c r="B154" s="41" t="n">
        <v>46330</v>
      </c>
      <c r="C154" s="35" t="n">
        <v>3</v>
      </c>
      <c r="D154" s="33" t="inlineStr">
        <is>
          <t>Movies, Music and Games</t>
        </is>
      </c>
      <c r="E154" s="36" t="inlineStr">
        <is>
          <t>How long is The Lord of the Rings: The Return of the King (theatrical cut)?</t>
        </is>
      </c>
      <c r="F154" s="42" t="n">
        <v>201</v>
      </c>
      <c r="G154" s="33" t="inlineStr">
        <is>
          <t>minutes</t>
        </is>
      </c>
      <c r="H154" s="35" t="inlineStr">
        <is>
          <t>Medium</t>
        </is>
      </c>
      <c r="I154" s="33" t="inlineStr">
        <is>
          <t>IMDb</t>
        </is>
      </c>
      <c r="J154" s="35" t="n"/>
      <c r="K154" s="33" t="n"/>
      <c r="L154" s="35">
        <f>COUNTIFS($A$2:$A$1501,A154,$D$2:$D$1501,D154)</f>
        <v/>
      </c>
    </row>
    <row r="155" ht="23.85" customHeight="1" s="26">
      <c r="A155" s="35" t="n">
        <v>31</v>
      </c>
      <c r="B155" s="41" t="n">
        <v>46330</v>
      </c>
      <c r="C155" s="35" t="n">
        <v>4</v>
      </c>
      <c r="D155" s="33" t="inlineStr">
        <is>
          <t>Buildings and Engineering</t>
        </is>
      </c>
      <c r="E155" s="36" t="inlineStr">
        <is>
          <t>How many steps does it take to climb to the Eiffel Tower's second floor?</t>
        </is>
      </c>
      <c r="F155" s="42" t="n">
        <v>674</v>
      </c>
      <c r="G155" s="33" t="inlineStr">
        <is>
          <t>steps</t>
        </is>
      </c>
      <c r="H155" s="35" t="inlineStr">
        <is>
          <t>Hard</t>
        </is>
      </c>
      <c r="I155" s="33" t="inlineStr">
        <is>
          <t>Société d'Exploitation de la Tour Eiffel</t>
        </is>
      </c>
      <c r="J155" s="35" t="n"/>
      <c r="K155" s="33" t="n"/>
      <c r="L155" s="35">
        <f>COUNTIFS($A$2:$A$1501,A155,$D$2:$D$1501,D155)</f>
        <v/>
      </c>
    </row>
    <row r="156" ht="23.85" customHeight="1" s="26">
      <c r="A156" s="35" t="n">
        <v>31</v>
      </c>
      <c r="B156" s="41" t="n">
        <v>46330</v>
      </c>
      <c r="C156" s="35" t="n">
        <v>5</v>
      </c>
      <c r="D156" s="33" t="inlineStr">
        <is>
          <t>Distance of the Day</t>
        </is>
      </c>
      <c r="E156" s="36" t="inlineStr">
        <is>
          <t>How far is it in a straight line from Toronto to Beijing?</t>
        </is>
      </c>
      <c r="F156" s="42" t="n">
        <v>10590</v>
      </c>
      <c r="G156" s="33" t="inlineStr">
        <is>
          <t>km</t>
        </is>
      </c>
      <c r="H156" s="35" t="inlineStr">
        <is>
          <t>Hard</t>
        </is>
      </c>
      <c r="I156" s="33" t="inlineStr">
        <is>
          <t>Computed great-circle distance (city centre to city centre)</t>
        </is>
      </c>
      <c r="J156" s="35" t="n"/>
      <c r="K156" s="33" t="n"/>
      <c r="L156" s="35">
        <f>COUNTIFS($A$2:$A$1501,A156,$D$2:$D$1501,D156)</f>
        <v/>
      </c>
    </row>
    <row r="157" ht="23.85" customHeight="1" s="26">
      <c r="A157" s="43" t="n">
        <v>32</v>
      </c>
      <c r="B157" s="44" t="n">
        <v>46331</v>
      </c>
      <c r="C157" s="43" t="n">
        <v>1</v>
      </c>
      <c r="D157" s="45" t="inlineStr">
        <is>
          <t>Canada</t>
        </is>
      </c>
      <c r="E157" s="46" t="inlineStr">
        <is>
          <t>How long is the land and water border between Canada and the US?</t>
        </is>
      </c>
      <c r="F157" s="47" t="n">
        <v>8891</v>
      </c>
      <c r="G157" s="45" t="inlineStr">
        <is>
          <t>km</t>
        </is>
      </c>
      <c r="H157" s="43" t="inlineStr">
        <is>
          <t>Medium</t>
        </is>
      </c>
      <c r="I157" s="45" t="inlineStr">
        <is>
          <t>International Boundary Commission</t>
        </is>
      </c>
      <c r="J157" s="43" t="n"/>
      <c r="K157" s="45" t="n"/>
      <c r="L157" s="43">
        <f>COUNTIFS($A$2:$A$1501,A157,$D$2:$D$1501,D157)</f>
        <v/>
      </c>
    </row>
    <row r="158" ht="23.85" customHeight="1" s="26">
      <c r="A158" s="43" t="n">
        <v>32</v>
      </c>
      <c r="B158" s="44" t="n">
        <v>46331</v>
      </c>
      <c r="C158" s="43" t="n">
        <v>2</v>
      </c>
      <c r="D158" s="45" t="inlineStr">
        <is>
          <t>History</t>
        </is>
      </c>
      <c r="E158" s="46" t="inlineStr">
        <is>
          <t>How long was the Silk Road trade network?</t>
        </is>
      </c>
      <c r="F158" s="47" t="n">
        <v>6400</v>
      </c>
      <c r="G158" s="45" t="inlineStr">
        <is>
          <t>km</t>
        </is>
      </c>
      <c r="H158" s="43" t="inlineStr">
        <is>
          <t>Medium</t>
        </is>
      </c>
      <c r="I158" s="45" t="inlineStr">
        <is>
          <t>Britannica / national archives</t>
        </is>
      </c>
      <c r="J158" s="43" t="n"/>
      <c r="K158" s="45" t="n"/>
      <c r="L158" s="43">
        <f>COUNTIFS($A$2:$A$1501,A158,$D$2:$D$1501,D158)</f>
        <v/>
      </c>
    </row>
    <row r="159" ht="23.85" customHeight="1" s="26">
      <c r="A159" s="43" t="n">
        <v>32</v>
      </c>
      <c r="B159" s="44" t="n">
        <v>46331</v>
      </c>
      <c r="C159" s="43" t="n">
        <v>3</v>
      </c>
      <c r="D159" s="45" t="inlineStr">
        <is>
          <t>Space and Science</t>
        </is>
      </c>
      <c r="E159" s="46" t="inlineStr">
        <is>
          <t>How fast does sound travel through water?</t>
        </is>
      </c>
      <c r="F159" s="47" t="n">
        <v>1480</v>
      </c>
      <c r="G159" s="45" t="inlineStr">
        <is>
          <t>metres per second</t>
        </is>
      </c>
      <c r="H159" s="43" t="inlineStr">
        <is>
          <t>Hard</t>
        </is>
      </c>
      <c r="I159" s="45" t="inlineStr">
        <is>
          <t>NASA / IAU / CRC Handbook</t>
        </is>
      </c>
      <c r="J159" s="43" t="n"/>
      <c r="K159" s="45" t="n"/>
      <c r="L159" s="43">
        <f>COUNTIFS($A$2:$A$1501,A159,$D$2:$D$1501,D159)</f>
        <v/>
      </c>
    </row>
    <row r="160" ht="23.85" customHeight="1" s="26">
      <c r="A160" s="43" t="n">
        <v>32</v>
      </c>
      <c r="B160" s="44" t="n">
        <v>46331</v>
      </c>
      <c r="C160" s="43" t="n">
        <v>4</v>
      </c>
      <c r="D160" s="45" t="inlineStr">
        <is>
          <t>Animals and Nature</t>
        </is>
      </c>
      <c r="E160" s="46" t="inlineStr">
        <is>
          <t>How far does an Arctic tern fly on its yearly migration?</t>
        </is>
      </c>
      <c r="F160" s="47" t="n">
        <v>71000</v>
      </c>
      <c r="G160" s="45" t="inlineStr">
        <is>
          <t>km</t>
        </is>
      </c>
      <c r="H160" s="43" t="inlineStr">
        <is>
          <t>Hard</t>
        </is>
      </c>
      <c r="I160" s="45" t="inlineStr">
        <is>
          <t>PNAS (2010)</t>
        </is>
      </c>
      <c r="J160" s="43" t="n"/>
      <c r="K160" s="45" t="n"/>
      <c r="L160" s="43">
        <f>COUNTIFS($A$2:$A$1501,A160,$D$2:$D$1501,D160)</f>
        <v/>
      </c>
    </row>
    <row r="161" ht="23.85" customHeight="1" s="26">
      <c r="A161" s="43" t="n">
        <v>32</v>
      </c>
      <c r="B161" s="44" t="n">
        <v>46331</v>
      </c>
      <c r="C161" s="43" t="n">
        <v>5</v>
      </c>
      <c r="D161" s="45" t="inlineStr">
        <is>
          <t>Distance of the Day</t>
        </is>
      </c>
      <c r="E161" s="46" t="inlineStr">
        <is>
          <t>How far is it in a straight line from Lima to Mumbai?</t>
        </is>
      </c>
      <c r="F161" s="47" t="n">
        <v>16700</v>
      </c>
      <c r="G161" s="45" t="inlineStr">
        <is>
          <t>km</t>
        </is>
      </c>
      <c r="H161" s="43" t="inlineStr">
        <is>
          <t>Hard</t>
        </is>
      </c>
      <c r="I161" s="45" t="inlineStr">
        <is>
          <t>Computed great-circle distance (city centre to city centre)</t>
        </is>
      </c>
      <c r="J161" s="43" t="n"/>
      <c r="K161" s="45" t="n"/>
      <c r="L161" s="43">
        <f>COUNTIFS($A$2:$A$1501,A161,$D$2:$D$1501,D161)</f>
        <v/>
      </c>
    </row>
    <row r="162" ht="23.85" customHeight="1" s="26">
      <c r="A162" s="35" t="n">
        <v>33</v>
      </c>
      <c r="B162" s="41" t="n">
        <v>46332</v>
      </c>
      <c r="C162" s="35" t="n">
        <v>1</v>
      </c>
      <c r="D162" s="33" t="inlineStr">
        <is>
          <t>Geography</t>
        </is>
      </c>
      <c r="E162" s="36" t="inlineStr">
        <is>
          <t>How wide is the Strait of Dover, the narrowest part of the English Channel?</t>
        </is>
      </c>
      <c r="F162" s="42" t="n">
        <v>33</v>
      </c>
      <c r="G162" s="33" t="inlineStr">
        <is>
          <t>km</t>
        </is>
      </c>
      <c r="H162" s="35" t="inlineStr">
        <is>
          <t>Medium</t>
        </is>
      </c>
      <c r="I162" s="33" t="inlineStr">
        <is>
          <t>Britannica / national survey agencies</t>
        </is>
      </c>
      <c r="J162" s="35" t="n"/>
      <c r="K162" s="33" t="n"/>
      <c r="L162" s="35">
        <f>COUNTIFS($A$2:$A$1501,A162,$D$2:$D$1501,D162)</f>
        <v/>
      </c>
    </row>
    <row r="163" ht="23.85" customHeight="1" s="26">
      <c r="A163" s="35" t="n">
        <v>33</v>
      </c>
      <c r="B163" s="41" t="n">
        <v>46332</v>
      </c>
      <c r="C163" s="35" t="n">
        <v>2</v>
      </c>
      <c r="D163" s="33" t="inlineStr">
        <is>
          <t>Buildings and Engineering</t>
        </is>
      </c>
      <c r="E163" s="36" t="inlineStr">
        <is>
          <t>How long is Icon of the Seas, the world's largest cruise ship?</t>
        </is>
      </c>
      <c r="F163" s="42" t="n">
        <v>365</v>
      </c>
      <c r="G163" s="33" t="inlineStr">
        <is>
          <t>metres</t>
        </is>
      </c>
      <c r="H163" s="35" t="inlineStr">
        <is>
          <t>Medium</t>
        </is>
      </c>
      <c r="I163" s="33" t="inlineStr">
        <is>
          <t>Royal Caribbean</t>
        </is>
      </c>
      <c r="J163" s="35" t="n"/>
      <c r="K163" s="33" t="n"/>
      <c r="L163" s="35">
        <f>COUNTIFS($A$2:$A$1501,A163,$D$2:$D$1501,D163)</f>
        <v/>
      </c>
    </row>
    <row r="164" ht="23.85" customHeight="1" s="26">
      <c r="A164" s="35" t="n">
        <v>33</v>
      </c>
      <c r="B164" s="41" t="n">
        <v>46332</v>
      </c>
      <c r="C164" s="35" t="n">
        <v>3</v>
      </c>
      <c r="D164" s="33" t="inlineStr">
        <is>
          <t>Movies, Music and Games</t>
        </is>
      </c>
      <c r="E164" s="36" t="inlineStr">
        <is>
          <t>How long is Oppenheimer?</t>
        </is>
      </c>
      <c r="F164" s="42" t="n">
        <v>180</v>
      </c>
      <c r="G164" s="33" t="inlineStr">
        <is>
          <t>minutes</t>
        </is>
      </c>
      <c r="H164" s="35" t="inlineStr">
        <is>
          <t>Medium</t>
        </is>
      </c>
      <c r="I164" s="33" t="inlineStr">
        <is>
          <t>IMDb</t>
        </is>
      </c>
      <c r="J164" s="35" t="n"/>
      <c r="K164" s="33" t="n"/>
      <c r="L164" s="35">
        <f>COUNTIFS($A$2:$A$1501,A164,$D$2:$D$1501,D164)</f>
        <v/>
      </c>
    </row>
    <row r="165" ht="23.85" customHeight="1" s="26">
      <c r="A165" s="35" t="n">
        <v>33</v>
      </c>
      <c r="B165" s="41" t="n">
        <v>46332</v>
      </c>
      <c r="C165" s="35" t="n">
        <v>4</v>
      </c>
      <c r="D165" s="33" t="inlineStr">
        <is>
          <t>Sports</t>
        </is>
      </c>
      <c r="E165" s="36" t="inlineStr">
        <is>
          <t>How many receiving yards did Jerry Rice gain in his NFL career?</t>
        </is>
      </c>
      <c r="F165" s="42" t="n">
        <v>22895</v>
      </c>
      <c r="G165" s="33" t="inlineStr">
        <is>
          <t>yards</t>
        </is>
      </c>
      <c r="H165" s="35" t="inlineStr">
        <is>
          <t>Hard</t>
        </is>
      </c>
      <c r="I165" s="33" t="inlineStr">
        <is>
          <t>Pro Football Hall of Fame</t>
        </is>
      </c>
      <c r="J165" s="35" t="n"/>
      <c r="K165" s="33" t="n"/>
      <c r="L165" s="35">
        <f>COUNTIFS($A$2:$A$1501,A165,$D$2:$D$1501,D165)</f>
        <v/>
      </c>
    </row>
    <row r="166" ht="23.85" customHeight="1" s="26">
      <c r="A166" s="35" t="n">
        <v>33</v>
      </c>
      <c r="B166" s="41" t="n">
        <v>46332</v>
      </c>
      <c r="C166" s="35" t="n">
        <v>5</v>
      </c>
      <c r="D166" s="33" t="inlineStr">
        <is>
          <t>Distance of the Day</t>
        </is>
      </c>
      <c r="E166" s="36" t="inlineStr">
        <is>
          <t>How far is it in a straight line from Halifax to Anchorage?</t>
        </is>
      </c>
      <c r="F166" s="42" t="n">
        <v>5600</v>
      </c>
      <c r="G166" s="33" t="inlineStr">
        <is>
          <t>km</t>
        </is>
      </c>
      <c r="H166" s="35" t="inlineStr">
        <is>
          <t>Medium</t>
        </is>
      </c>
      <c r="I166" s="33" t="inlineStr">
        <is>
          <t>Computed great-circle distance (city centre to city centre)</t>
        </is>
      </c>
      <c r="J166" s="35" t="n"/>
      <c r="K166" s="33" t="n"/>
      <c r="L166" s="35">
        <f>COUNTIFS($A$2:$A$1501,A166,$D$2:$D$1501,D166)</f>
        <v/>
      </c>
    </row>
    <row r="167" ht="23.85" customHeight="1" s="26">
      <c r="A167" s="43" t="n">
        <v>34</v>
      </c>
      <c r="B167" s="44" t="n">
        <v>46333</v>
      </c>
      <c r="C167" s="43" t="n">
        <v>1</v>
      </c>
      <c r="D167" s="45" t="inlineStr">
        <is>
          <t>Animals and Nature</t>
        </is>
      </c>
      <c r="E167" s="46" t="inlineStr">
        <is>
          <t>How heavy is an adult male African elephant?</t>
        </is>
      </c>
      <c r="F167" s="47" t="n">
        <v>6000</v>
      </c>
      <c r="G167" s="45" t="inlineStr">
        <is>
          <t>kg</t>
        </is>
      </c>
      <c r="H167" s="43" t="inlineStr">
        <is>
          <t>Medium</t>
        </is>
      </c>
      <c r="I167" s="45" t="inlineStr">
        <is>
          <t>Britannica / National Geographic / Guinness World Records</t>
        </is>
      </c>
      <c r="J167" s="43" t="n"/>
      <c r="K167" s="45" t="n"/>
      <c r="L167" s="43">
        <f>COUNTIFS($A$2:$A$1501,A167,$D$2:$D$1501,D167)</f>
        <v/>
      </c>
    </row>
    <row r="168" ht="23.85" customHeight="1" s="26">
      <c r="A168" s="43" t="n">
        <v>34</v>
      </c>
      <c r="B168" s="44" t="n">
        <v>46333</v>
      </c>
      <c r="C168" s="43" t="n">
        <v>2</v>
      </c>
      <c r="D168" s="45" t="inlineStr">
        <is>
          <t>Space and Science</t>
        </is>
      </c>
      <c r="E168" s="46" t="inlineStr">
        <is>
          <t>How many Earth days does Venus take to spin once on its axis?</t>
        </is>
      </c>
      <c r="F168" s="47" t="n">
        <v>243</v>
      </c>
      <c r="G168" s="45" t="inlineStr">
        <is>
          <t>days</t>
        </is>
      </c>
      <c r="H168" s="43" t="inlineStr">
        <is>
          <t>Hard</t>
        </is>
      </c>
      <c r="I168" s="45" t="inlineStr">
        <is>
          <t>NASA</t>
        </is>
      </c>
      <c r="J168" s="43" t="n"/>
      <c r="K168" s="45" t="n"/>
      <c r="L168" s="43">
        <f>COUNTIFS($A$2:$A$1501,A168,$D$2:$D$1501,D168)</f>
        <v/>
      </c>
    </row>
    <row r="169" ht="23.85" customHeight="1" s="26">
      <c r="A169" s="43" t="n">
        <v>34</v>
      </c>
      <c r="B169" s="44" t="n">
        <v>46333</v>
      </c>
      <c r="C169" s="43" t="n">
        <v>3</v>
      </c>
      <c r="D169" s="45" t="inlineStr">
        <is>
          <t>Canada</t>
        </is>
      </c>
      <c r="E169" s="46" t="inlineStr">
        <is>
          <t>How big is Ontario?</t>
        </is>
      </c>
      <c r="F169" s="47" t="n">
        <v>1076395</v>
      </c>
      <c r="G169" s="45" t="inlineStr">
        <is>
          <t>km²</t>
        </is>
      </c>
      <c r="H169" s="43" t="inlineStr">
        <is>
          <t>Hard</t>
        </is>
      </c>
      <c r="I169" s="45" t="inlineStr">
        <is>
          <t>Statistics Canada</t>
        </is>
      </c>
      <c r="J169" s="43" t="n"/>
      <c r="K169" s="45" t="n"/>
      <c r="L169" s="43">
        <f>COUNTIFS($A$2:$A$1501,A169,$D$2:$D$1501,D169)</f>
        <v/>
      </c>
    </row>
    <row r="170" ht="23.85" customHeight="1" s="26">
      <c r="A170" s="43" t="n">
        <v>34</v>
      </c>
      <c r="B170" s="44" t="n">
        <v>46333</v>
      </c>
      <c r="C170" s="43" t="n">
        <v>4</v>
      </c>
      <c r="D170" s="45" t="inlineStr">
        <is>
          <t>Food and Everyday Life</t>
        </is>
      </c>
      <c r="E170" s="46" t="inlineStr">
        <is>
          <t>How spicy can a habanero pepper get?</t>
        </is>
      </c>
      <c r="F170" s="47" t="n">
        <v>350000</v>
      </c>
      <c r="G170" s="45" t="inlineStr">
        <is>
          <t>Scoville heat units</t>
        </is>
      </c>
      <c r="H170" s="43" t="inlineStr">
        <is>
          <t>Hard</t>
        </is>
      </c>
      <c r="I170" s="45" t="inlineStr">
        <is>
          <t>Food industry bodies / USDA / Water Footprint Network</t>
        </is>
      </c>
      <c r="J170" s="43" t="n"/>
      <c r="K170" s="45" t="n"/>
      <c r="L170" s="43">
        <f>COUNTIFS($A$2:$A$1501,A170,$D$2:$D$1501,D170)</f>
        <v/>
      </c>
    </row>
    <row r="171" ht="23.85" customHeight="1" s="26">
      <c r="A171" s="43" t="n">
        <v>34</v>
      </c>
      <c r="B171" s="44" t="n">
        <v>46333</v>
      </c>
      <c r="C171" s="43" t="n">
        <v>5</v>
      </c>
      <c r="D171" s="45" t="inlineStr">
        <is>
          <t>Distance of the Day</t>
        </is>
      </c>
      <c r="E171" s="46" t="inlineStr">
        <is>
          <t>How far is it in a straight line from Los Angeles to Bangkok?</t>
        </is>
      </c>
      <c r="F171" s="47" t="n">
        <v>13300</v>
      </c>
      <c r="G171" s="45" t="inlineStr">
        <is>
          <t>km</t>
        </is>
      </c>
      <c r="H171" s="43" t="inlineStr">
        <is>
          <t>Hard</t>
        </is>
      </c>
      <c r="I171" s="45" t="inlineStr">
        <is>
          <t>Computed great-circle distance (city centre to city centre)</t>
        </is>
      </c>
      <c r="J171" s="43" t="n"/>
      <c r="K171" s="45" t="n"/>
      <c r="L171" s="43">
        <f>COUNTIFS($A$2:$A$1501,A171,$D$2:$D$1501,D171)</f>
        <v/>
      </c>
    </row>
    <row r="172" ht="23.85" customHeight="1" s="26">
      <c r="A172" s="35" t="n">
        <v>35</v>
      </c>
      <c r="B172" s="41" t="n">
        <v>46334</v>
      </c>
      <c r="C172" s="35" t="n">
        <v>1</v>
      </c>
      <c r="D172" s="33" t="inlineStr">
        <is>
          <t>Geography</t>
        </is>
      </c>
      <c r="E172" s="36" t="inlineStr">
        <is>
          <t>How tall is K2, the world's second highest mountain?</t>
        </is>
      </c>
      <c r="F172" s="42" t="n">
        <v>8611</v>
      </c>
      <c r="G172" s="33" t="inlineStr">
        <is>
          <t>metres</t>
        </is>
      </c>
      <c r="H172" s="35" t="inlineStr">
        <is>
          <t>Medium</t>
        </is>
      </c>
      <c r="I172" s="33" t="inlineStr">
        <is>
          <t>Britannica / national survey agencies</t>
        </is>
      </c>
      <c r="J172" s="35" t="n"/>
      <c r="K172" s="33" t="n"/>
      <c r="L172" s="35">
        <f>COUNTIFS($A$2:$A$1501,A172,$D$2:$D$1501,D172)</f>
        <v/>
      </c>
    </row>
    <row r="173" ht="23.85" customHeight="1" s="26">
      <c r="A173" s="35" t="n">
        <v>35</v>
      </c>
      <c r="B173" s="41" t="n">
        <v>46334</v>
      </c>
      <c r="C173" s="35" t="n">
        <v>2</v>
      </c>
      <c r="D173" s="33" t="inlineStr">
        <is>
          <t>Sports</t>
        </is>
      </c>
      <c r="E173" s="36" t="inlineStr">
        <is>
          <t>How many touchdown passes did Peyton Manning throw in his record 2013 season?</t>
        </is>
      </c>
      <c r="F173" s="42" t="n">
        <v>55</v>
      </c>
      <c r="G173" s="33" t="inlineStr">
        <is>
          <t>touchdowns</t>
        </is>
      </c>
      <c r="H173" s="35" t="inlineStr">
        <is>
          <t>Medium</t>
        </is>
      </c>
      <c r="I173" s="33" t="inlineStr">
        <is>
          <t>NFL.com</t>
        </is>
      </c>
      <c r="J173" s="35" t="n"/>
      <c r="K173" s="33" t="n"/>
      <c r="L173" s="35">
        <f>COUNTIFS($A$2:$A$1501,A173,$D$2:$D$1501,D173)</f>
        <v/>
      </c>
    </row>
    <row r="174" ht="23.85" customHeight="1" s="26">
      <c r="A174" s="35" t="n">
        <v>35</v>
      </c>
      <c r="B174" s="41" t="n">
        <v>46334</v>
      </c>
      <c r="C174" s="35" t="n">
        <v>3</v>
      </c>
      <c r="D174" s="33" t="inlineStr">
        <is>
          <t>Buildings and Engineering</t>
        </is>
      </c>
      <c r="E174" s="36" t="inlineStr">
        <is>
          <t>How much does the Eiffel Tower weigh?</t>
        </is>
      </c>
      <c r="F174" s="42" t="n">
        <v>10100</v>
      </c>
      <c r="G174" s="33" t="inlineStr">
        <is>
          <t>tonnes</t>
        </is>
      </c>
      <c r="H174" s="35" t="inlineStr">
        <is>
          <t>Hard</t>
        </is>
      </c>
      <c r="I174" s="33" t="inlineStr">
        <is>
          <t>Société d'Exploitation de la Tour Eiffel</t>
        </is>
      </c>
      <c r="J174" s="35" t="n"/>
      <c r="K174" s="33" t="n"/>
      <c r="L174" s="35">
        <f>COUNTIFS($A$2:$A$1501,A174,$D$2:$D$1501,D174)</f>
        <v/>
      </c>
    </row>
    <row r="175" ht="23.85" customHeight="1" s="26">
      <c r="A175" s="35" t="n">
        <v>35</v>
      </c>
      <c r="B175" s="41" t="n">
        <v>46334</v>
      </c>
      <c r="C175" s="35" t="n">
        <v>4</v>
      </c>
      <c r="D175" s="33" t="inlineStr">
        <is>
          <t>Movies, Music and Games</t>
        </is>
      </c>
      <c r="E175" s="36" t="inlineStr">
        <is>
          <t>How many competitive Oscars did Walt Disney win, the most of any person?</t>
        </is>
      </c>
      <c r="F175" s="42" t="n">
        <v>22</v>
      </c>
      <c r="G175" s="33" t="inlineStr">
        <is>
          <t>Oscars</t>
        </is>
      </c>
      <c r="H175" s="35" t="inlineStr">
        <is>
          <t>Hard</t>
        </is>
      </c>
      <c r="I175" s="33" t="inlineStr">
        <is>
          <t>Academy of Motion Picture Arts and Sciences</t>
        </is>
      </c>
      <c r="J175" s="35" t="n"/>
      <c r="K175" s="33" t="n"/>
      <c r="L175" s="35">
        <f>COUNTIFS($A$2:$A$1501,A175,$D$2:$D$1501,D175)</f>
        <v/>
      </c>
    </row>
    <row r="176" ht="23.85" customHeight="1" s="26">
      <c r="A176" s="35" t="n">
        <v>35</v>
      </c>
      <c r="B176" s="41" t="n">
        <v>46334</v>
      </c>
      <c r="C176" s="35" t="n">
        <v>5</v>
      </c>
      <c r="D176" s="33" t="inlineStr">
        <is>
          <t>Distance of the Day</t>
        </is>
      </c>
      <c r="E176" s="36" t="inlineStr">
        <is>
          <t>How far is it in a straight line from Iqaluit to Mecca?</t>
        </is>
      </c>
      <c r="F176" s="42" t="n">
        <v>8740</v>
      </c>
      <c r="G176" s="33" t="inlineStr">
        <is>
          <t>km</t>
        </is>
      </c>
      <c r="H176" s="35" t="inlineStr">
        <is>
          <t>Hard</t>
        </is>
      </c>
      <c r="I176" s="33" t="inlineStr">
        <is>
          <t>Computed great-circle distance (city centre to city centre)</t>
        </is>
      </c>
      <c r="J176" s="35" t="n"/>
      <c r="K176" s="33" t="n"/>
      <c r="L176" s="35">
        <f>COUNTIFS($A$2:$A$1501,A176,$D$2:$D$1501,D176)</f>
        <v/>
      </c>
    </row>
    <row r="177" ht="23.85" customHeight="1" s="26">
      <c r="A177" s="43" t="n">
        <v>36</v>
      </c>
      <c r="B177" s="44" t="n">
        <v>46335</v>
      </c>
      <c r="C177" s="43" t="n">
        <v>1</v>
      </c>
      <c r="D177" s="45" t="inlineStr">
        <is>
          <t>Food and Everyday Life</t>
        </is>
      </c>
      <c r="E177" s="46" t="inlineStr">
        <is>
          <t>How many grams of sugar are in a 355 mL can of Coca-Cola?</t>
        </is>
      </c>
      <c r="F177" s="47" t="n">
        <v>39</v>
      </c>
      <c r="G177" s="45" t="inlineStr">
        <is>
          <t>grams</t>
        </is>
      </c>
      <c r="H177" s="43" t="inlineStr">
        <is>
          <t>Easy</t>
        </is>
      </c>
      <c r="I177" s="45" t="inlineStr">
        <is>
          <t>Coca-Cola</t>
        </is>
      </c>
      <c r="J177" s="43" t="n"/>
      <c r="K177" s="45" t="n"/>
      <c r="L177" s="43">
        <f>COUNTIFS($A$2:$A$1501,A177,$D$2:$D$1501,D177)</f>
        <v/>
      </c>
    </row>
    <row r="178" ht="23.85" customHeight="1" s="26">
      <c r="A178" s="43" t="n">
        <v>36</v>
      </c>
      <c r="B178" s="44" t="n">
        <v>46335</v>
      </c>
      <c r="C178" s="43" t="n">
        <v>2</v>
      </c>
      <c r="D178" s="45" t="inlineStr">
        <is>
          <t>Space and Science</t>
        </is>
      </c>
      <c r="E178" s="46" t="inlineStr">
        <is>
          <t>What is the atomic number of uranium?</t>
        </is>
      </c>
      <c r="F178" s="47" t="n">
        <v>92</v>
      </c>
      <c r="G178" s="45" t="n"/>
      <c r="H178" s="43" t="inlineStr">
        <is>
          <t>Medium</t>
        </is>
      </c>
      <c r="I178" s="45" t="inlineStr">
        <is>
          <t>IUPAC</t>
        </is>
      </c>
      <c r="J178" s="43" t="n"/>
      <c r="K178" s="45" t="n"/>
      <c r="L178" s="43">
        <f>COUNTIFS($A$2:$A$1501,A178,$D$2:$D$1501,D178)</f>
        <v/>
      </c>
    </row>
    <row r="179" ht="23.85" customHeight="1" s="26">
      <c r="A179" s="43" t="n">
        <v>36</v>
      </c>
      <c r="B179" s="44" t="n">
        <v>46335</v>
      </c>
      <c r="C179" s="43" t="n">
        <v>3</v>
      </c>
      <c r="D179" s="45" t="inlineStr">
        <is>
          <t>Human Body</t>
        </is>
      </c>
      <c r="E179" s="46" t="inlineStr">
        <is>
          <t>How long is the adult spinal cord?</t>
        </is>
      </c>
      <c r="F179" s="47" t="n">
        <v>45</v>
      </c>
      <c r="G179" s="45" t="inlineStr">
        <is>
          <t>cm</t>
        </is>
      </c>
      <c r="H179" s="43" t="inlineStr">
        <is>
          <t>Hard</t>
        </is>
      </c>
      <c r="I179" s="45" t="inlineStr">
        <is>
          <t>Cleveland Clinic / NIH / Guinness World Records</t>
        </is>
      </c>
      <c r="J179" s="43" t="n"/>
      <c r="K179" s="45" t="n"/>
      <c r="L179" s="43">
        <f>COUNTIFS($A$2:$A$1501,A179,$D$2:$D$1501,D179)</f>
        <v/>
      </c>
    </row>
    <row r="180" ht="23.85" customHeight="1" s="26">
      <c r="A180" s="43" t="n">
        <v>36</v>
      </c>
      <c r="B180" s="44" t="n">
        <v>46335</v>
      </c>
      <c r="C180" s="43" t="n">
        <v>4</v>
      </c>
      <c r="D180" s="45" t="inlineStr">
        <is>
          <t>Animals and Nature</t>
        </is>
      </c>
      <c r="E180" s="46" t="inlineStr">
        <is>
          <t>How many times per second does a honeybee beat its wings?</t>
        </is>
      </c>
      <c r="F180" s="47" t="n">
        <v>230</v>
      </c>
      <c r="G180" s="45" t="inlineStr">
        <is>
          <t>beats</t>
        </is>
      </c>
      <c r="H180" s="43" t="inlineStr">
        <is>
          <t>Hard</t>
        </is>
      </c>
      <c r="I180" s="45" t="inlineStr">
        <is>
          <t>Britannica / National Geographic / Guinness World Records</t>
        </is>
      </c>
      <c r="J180" s="43" t="n"/>
      <c r="K180" s="45" t="n"/>
      <c r="L180" s="43">
        <f>COUNTIFS($A$2:$A$1501,A180,$D$2:$D$1501,D180)</f>
        <v/>
      </c>
    </row>
    <row r="181" ht="23.85" customHeight="1" s="26">
      <c r="A181" s="43" t="n">
        <v>36</v>
      </c>
      <c r="B181" s="44" t="n">
        <v>46335</v>
      </c>
      <c r="C181" s="43" t="n">
        <v>5</v>
      </c>
      <c r="D181" s="45" t="inlineStr">
        <is>
          <t>Distance of the Day</t>
        </is>
      </c>
      <c r="E181" s="46" t="inlineStr">
        <is>
          <t>How far is it in a straight line from Miami to Nairobi?</t>
        </is>
      </c>
      <c r="F181" s="47" t="n">
        <v>12760</v>
      </c>
      <c r="G181" s="45" t="inlineStr">
        <is>
          <t>km</t>
        </is>
      </c>
      <c r="H181" s="43" t="inlineStr">
        <is>
          <t>Hard</t>
        </is>
      </c>
      <c r="I181" s="45" t="inlineStr">
        <is>
          <t>Computed great-circle distance (city centre to city centre)</t>
        </is>
      </c>
      <c r="J181" s="43" t="n"/>
      <c r="K181" s="45" t="n"/>
      <c r="L181" s="43">
        <f>COUNTIFS($A$2:$A$1501,A181,$D$2:$D$1501,D181)</f>
        <v/>
      </c>
    </row>
    <row r="182" ht="23.85" customHeight="1" s="26">
      <c r="A182" s="35" t="n">
        <v>37</v>
      </c>
      <c r="B182" s="41" t="n">
        <v>46336</v>
      </c>
      <c r="C182" s="35" t="n">
        <v>1</v>
      </c>
      <c r="D182" s="33" t="inlineStr">
        <is>
          <t>Movies, Music and Games</t>
        </is>
      </c>
      <c r="E182" s="36" t="inlineStr">
        <is>
          <t>How many sonnets did Shakespeare write?</t>
        </is>
      </c>
      <c r="F182" s="42" t="n">
        <v>154</v>
      </c>
      <c r="G182" s="33" t="inlineStr">
        <is>
          <t>sonnets</t>
        </is>
      </c>
      <c r="H182" s="35" t="inlineStr">
        <is>
          <t>Medium</t>
        </is>
      </c>
      <c r="I182" s="33" t="inlineStr">
        <is>
          <t>IMDb / official records / Guinness World Records</t>
        </is>
      </c>
      <c r="J182" s="35" t="n"/>
      <c r="K182" s="33" t="n"/>
      <c r="L182" s="35">
        <f>COUNTIFS($A$2:$A$1501,A182,$D$2:$D$1501,D182)</f>
        <v/>
      </c>
    </row>
    <row r="183" ht="23.85" customHeight="1" s="26">
      <c r="A183" s="35" t="n">
        <v>37</v>
      </c>
      <c r="B183" s="41" t="n">
        <v>46336</v>
      </c>
      <c r="C183" s="35" t="n">
        <v>2</v>
      </c>
      <c r="D183" s="33" t="inlineStr">
        <is>
          <t>Geography</t>
        </is>
      </c>
      <c r="E183" s="36" t="inlineStr">
        <is>
          <t>How long is the Great Wall of China, counting all its branches?</t>
        </is>
      </c>
      <c r="F183" s="42" t="n">
        <v>21196</v>
      </c>
      <c r="G183" s="33" t="inlineStr">
        <is>
          <t>km</t>
        </is>
      </c>
      <c r="H183" s="35" t="inlineStr">
        <is>
          <t>Hard</t>
        </is>
      </c>
      <c r="I183" s="33" t="inlineStr">
        <is>
          <t>China State Administration of Cultural Heritage 2012</t>
        </is>
      </c>
      <c r="J183" s="35" t="n"/>
      <c r="K183" s="33" t="n"/>
      <c r="L183" s="35">
        <f>COUNTIFS($A$2:$A$1501,A183,$D$2:$D$1501,D183)</f>
        <v/>
      </c>
    </row>
    <row r="184" ht="23.85" customHeight="1" s="26">
      <c r="A184" s="35" t="n">
        <v>37</v>
      </c>
      <c r="B184" s="41" t="n">
        <v>46336</v>
      </c>
      <c r="C184" s="35" t="n">
        <v>3</v>
      </c>
      <c r="D184" s="33" t="inlineStr">
        <is>
          <t>Buildings and Engineering</t>
        </is>
      </c>
      <c r="E184" s="36" t="inlineStr">
        <is>
          <t>How long is the Gotthard Base Tunnel in Switzerland, the world's longest rail tunnel?</t>
        </is>
      </c>
      <c r="F184" s="42" t="n">
        <v>57</v>
      </c>
      <c r="G184" s="33" t="inlineStr">
        <is>
          <t>km</t>
        </is>
      </c>
      <c r="H184" s="35" t="inlineStr">
        <is>
          <t>Hard</t>
        </is>
      </c>
      <c r="I184" s="33" t="inlineStr">
        <is>
          <t>SBB</t>
        </is>
      </c>
      <c r="J184" s="35" t="n"/>
      <c r="K184" s="33" t="n"/>
      <c r="L184" s="35">
        <f>COUNTIFS($A$2:$A$1501,A184,$D$2:$D$1501,D184)</f>
        <v/>
      </c>
    </row>
    <row r="185" ht="23.85" customHeight="1" s="26">
      <c r="A185" s="35" t="n">
        <v>37</v>
      </c>
      <c r="B185" s="41" t="n">
        <v>46336</v>
      </c>
      <c r="C185" s="35" t="n">
        <v>4</v>
      </c>
      <c r="D185" s="33" t="inlineStr">
        <is>
          <t>Sports</t>
        </is>
      </c>
      <c r="E185" s="36" t="inlineStr">
        <is>
          <t>How many hits did Ichiro Suzuki get in his record 2004 season?</t>
        </is>
      </c>
      <c r="F185" s="42" t="n">
        <v>262</v>
      </c>
      <c r="G185" s="33" t="inlineStr">
        <is>
          <t>hits</t>
        </is>
      </c>
      <c r="H185" s="35" t="inlineStr">
        <is>
          <t>Hard</t>
        </is>
      </c>
      <c r="I185" s="33" t="inlineStr">
        <is>
          <t>MLB.com</t>
        </is>
      </c>
      <c r="J185" s="35" t="n"/>
      <c r="K185" s="33" t="n"/>
      <c r="L185" s="35">
        <f>COUNTIFS($A$2:$A$1501,A185,$D$2:$D$1501,D185)</f>
        <v/>
      </c>
    </row>
    <row r="186" ht="23.85" customHeight="1" s="26">
      <c r="A186" s="35" t="n">
        <v>37</v>
      </c>
      <c r="B186" s="41" t="n">
        <v>46336</v>
      </c>
      <c r="C186" s="35" t="n">
        <v>5</v>
      </c>
      <c r="D186" s="33" t="inlineStr">
        <is>
          <t>Distance of the Day</t>
        </is>
      </c>
      <c r="E186" s="36" t="inlineStr">
        <is>
          <t>How far is it in a straight line from Ottawa to Buenos Aires?</t>
        </is>
      </c>
      <c r="F186" s="42" t="n">
        <v>9070</v>
      </c>
      <c r="G186" s="33" t="inlineStr">
        <is>
          <t>km</t>
        </is>
      </c>
      <c r="H186" s="35" t="inlineStr">
        <is>
          <t>Hard</t>
        </is>
      </c>
      <c r="I186" s="33" t="inlineStr">
        <is>
          <t>Computed great-circle distance (city centre to city centre)</t>
        </is>
      </c>
      <c r="J186" s="35" t="n"/>
      <c r="K186" s="33" t="n"/>
      <c r="L186" s="35">
        <f>COUNTIFS($A$2:$A$1501,A186,$D$2:$D$1501,D186)</f>
        <v/>
      </c>
    </row>
    <row r="187" ht="23.85" customHeight="1" s="26">
      <c r="A187" s="43" t="n">
        <v>38</v>
      </c>
      <c r="B187" s="44" t="n">
        <v>46337</v>
      </c>
      <c r="C187" s="43" t="n">
        <v>1</v>
      </c>
      <c r="D187" s="45" t="inlineStr">
        <is>
          <t>Space and Science</t>
        </is>
      </c>
      <c r="E187" s="46" t="inlineStr">
        <is>
          <t>How many elements are on the periodic table?</t>
        </is>
      </c>
      <c r="F187" s="47" t="n">
        <v>118</v>
      </c>
      <c r="G187" s="45" t="inlineStr">
        <is>
          <t>elements</t>
        </is>
      </c>
      <c r="H187" s="43" t="inlineStr">
        <is>
          <t>Easy</t>
        </is>
      </c>
      <c r="I187" s="45" t="inlineStr">
        <is>
          <t>IUPAC</t>
        </is>
      </c>
      <c r="J187" s="43" t="n"/>
      <c r="K187" s="45" t="n"/>
      <c r="L187" s="43">
        <f>COUNTIFS($A$2:$A$1501,A187,$D$2:$D$1501,D187)</f>
        <v/>
      </c>
    </row>
    <row r="188" ht="23.85" customHeight="1" s="26">
      <c r="A188" s="43" t="n">
        <v>38</v>
      </c>
      <c r="B188" s="44" t="n">
        <v>46337</v>
      </c>
      <c r="C188" s="43" t="n">
        <v>2</v>
      </c>
      <c r="D188" s="45" t="inlineStr">
        <is>
          <t>History</t>
        </is>
      </c>
      <c r="E188" s="46" t="inlineStr">
        <is>
          <t>How many years did Queen Elizabeth II reign?</t>
        </is>
      </c>
      <c r="F188" s="47" t="n">
        <v>70</v>
      </c>
      <c r="G188" s="45" t="inlineStr">
        <is>
          <t>years</t>
        </is>
      </c>
      <c r="H188" s="43" t="inlineStr">
        <is>
          <t>Easy</t>
        </is>
      </c>
      <c r="I188" s="45" t="inlineStr">
        <is>
          <t>Britannica / national archives</t>
        </is>
      </c>
      <c r="J188" s="43" t="n"/>
      <c r="K188" s="45" t="n"/>
      <c r="L188" s="43">
        <f>COUNTIFS($A$2:$A$1501,A188,$D$2:$D$1501,D188)</f>
        <v/>
      </c>
    </row>
    <row r="189" ht="23.85" customHeight="1" s="26">
      <c r="A189" s="43" t="n">
        <v>38</v>
      </c>
      <c r="B189" s="44" t="n">
        <v>46337</v>
      </c>
      <c r="C189" s="43" t="n">
        <v>3</v>
      </c>
      <c r="D189" s="45" t="inlineStr">
        <is>
          <t>Canada</t>
        </is>
      </c>
      <c r="E189" s="46" t="inlineStr">
        <is>
          <t>How many steps are in the CN Tower's stairwell?</t>
        </is>
      </c>
      <c r="F189" s="47" t="n">
        <v>1776</v>
      </c>
      <c r="G189" s="45" t="inlineStr">
        <is>
          <t>steps</t>
        </is>
      </c>
      <c r="H189" s="43" t="inlineStr">
        <is>
          <t>Hard</t>
        </is>
      </c>
      <c r="I189" s="45" t="inlineStr">
        <is>
          <t>CN Tower</t>
        </is>
      </c>
      <c r="J189" s="43" t="n"/>
      <c r="K189" s="45" t="n"/>
      <c r="L189" s="43">
        <f>COUNTIFS($A$2:$A$1501,A189,$D$2:$D$1501,D189)</f>
        <v/>
      </c>
    </row>
    <row r="190" ht="23.85" customHeight="1" s="26">
      <c r="A190" s="43" t="n">
        <v>38</v>
      </c>
      <c r="B190" s="44" t="n">
        <v>46337</v>
      </c>
      <c r="C190" s="43" t="n">
        <v>4</v>
      </c>
      <c r="D190" s="45" t="inlineStr">
        <is>
          <t>Human Body</t>
        </is>
      </c>
      <c r="E190" s="46" t="inlineStr">
        <is>
          <t>How many sweat glands does the average person have?</t>
        </is>
      </c>
      <c r="F190" s="47" t="n">
        <v>3000000</v>
      </c>
      <c r="G190" s="45" t="inlineStr">
        <is>
          <t>sweat glands</t>
        </is>
      </c>
      <c r="H190" s="43" t="inlineStr">
        <is>
          <t>Hard</t>
        </is>
      </c>
      <c r="I190" s="45" t="inlineStr">
        <is>
          <t>Cleveland Clinic / NIH / Guinness World Records</t>
        </is>
      </c>
      <c r="J190" s="43" t="n"/>
      <c r="K190" s="45" t="n"/>
      <c r="L190" s="43">
        <f>COUNTIFS($A$2:$A$1501,A190,$D$2:$D$1501,D190)</f>
        <v/>
      </c>
    </row>
    <row r="191" ht="23.85" customHeight="1" s="26">
      <c r="A191" s="43" t="n">
        <v>38</v>
      </c>
      <c r="B191" s="44" t="n">
        <v>46337</v>
      </c>
      <c r="C191" s="43" t="n">
        <v>5</v>
      </c>
      <c r="D191" s="45" t="inlineStr">
        <is>
          <t>Distance of the Day</t>
        </is>
      </c>
      <c r="E191" s="46" t="inlineStr">
        <is>
          <t>How far is it in a straight line from Beijing to Tokyo?</t>
        </is>
      </c>
      <c r="F191" s="47" t="n">
        <v>2090</v>
      </c>
      <c r="G191" s="45" t="inlineStr">
        <is>
          <t>km</t>
        </is>
      </c>
      <c r="H191" s="43" t="inlineStr">
        <is>
          <t>Medium</t>
        </is>
      </c>
      <c r="I191" s="45" t="inlineStr">
        <is>
          <t>Computed great-circle distance (city centre to city centre)</t>
        </is>
      </c>
      <c r="J191" s="43" t="n"/>
      <c r="K191" s="45" t="n"/>
      <c r="L191" s="43">
        <f>COUNTIFS($A$2:$A$1501,A191,$D$2:$D$1501,D191)</f>
        <v/>
      </c>
    </row>
    <row r="192" ht="23.85" customHeight="1" s="26">
      <c r="A192" s="35" t="n">
        <v>39</v>
      </c>
      <c r="B192" s="41" t="n">
        <v>46338</v>
      </c>
      <c r="C192" s="35" t="n">
        <v>1</v>
      </c>
      <c r="D192" s="33" t="inlineStr">
        <is>
          <t>Geography</t>
        </is>
      </c>
      <c r="E192" s="36" t="inlineStr">
        <is>
          <t>How many member states does the United Nations have?</t>
        </is>
      </c>
      <c r="F192" s="42" t="n">
        <v>193</v>
      </c>
      <c r="G192" s="33" t="inlineStr">
        <is>
          <t>countries</t>
        </is>
      </c>
      <c r="H192" s="35" t="inlineStr">
        <is>
          <t>Easy</t>
        </is>
      </c>
      <c r="I192" s="33" t="inlineStr">
        <is>
          <t>United Nations</t>
        </is>
      </c>
      <c r="J192" s="35" t="n"/>
      <c r="K192" s="33" t="n"/>
      <c r="L192" s="35">
        <f>COUNTIFS($A$2:$A$1501,A192,$D$2:$D$1501,D192)</f>
        <v/>
      </c>
    </row>
    <row r="193" ht="23.85" customHeight="1" s="26">
      <c r="A193" s="35" t="n">
        <v>39</v>
      </c>
      <c r="B193" s="41" t="n">
        <v>46338</v>
      </c>
      <c r="C193" s="35" t="n">
        <v>2</v>
      </c>
      <c r="D193" s="33" t="inlineStr">
        <is>
          <t>Sports</t>
        </is>
      </c>
      <c r="E193" s="36" t="inlineStr">
        <is>
          <t>How tall is the Green Monster wall at Fenway Park?</t>
        </is>
      </c>
      <c r="F193" s="42" t="n">
        <v>37</v>
      </c>
      <c r="G193" s="33" t="inlineStr">
        <is>
          <t>feet</t>
        </is>
      </c>
      <c r="H193" s="35" t="inlineStr">
        <is>
          <t>Medium</t>
        </is>
      </c>
      <c r="I193" s="33" t="inlineStr">
        <is>
          <t>Boston Red Sox</t>
        </is>
      </c>
      <c r="J193" s="35" t="n"/>
      <c r="K193" s="33" t="n"/>
      <c r="L193" s="35">
        <f>COUNTIFS($A$2:$A$1501,A193,$D$2:$D$1501,D193)</f>
        <v/>
      </c>
    </row>
    <row r="194" ht="23.85" customHeight="1" s="26">
      <c r="A194" s="35" t="n">
        <v>39</v>
      </c>
      <c r="B194" s="41" t="n">
        <v>46338</v>
      </c>
      <c r="C194" s="35" t="n">
        <v>3</v>
      </c>
      <c r="D194" s="33" t="inlineStr">
        <is>
          <t>Movies, Music and Games</t>
        </is>
      </c>
      <c r="E194" s="36" t="inlineStr">
        <is>
          <t>How long is The Dark Knight?</t>
        </is>
      </c>
      <c r="F194" s="42" t="n">
        <v>152</v>
      </c>
      <c r="G194" s="33" t="inlineStr">
        <is>
          <t>minutes</t>
        </is>
      </c>
      <c r="H194" s="35" t="inlineStr">
        <is>
          <t>Medium</t>
        </is>
      </c>
      <c r="I194" s="33" t="inlineStr">
        <is>
          <t>IMDb</t>
        </is>
      </c>
      <c r="J194" s="35" t="n"/>
      <c r="K194" s="33" t="n"/>
      <c r="L194" s="35">
        <f>COUNTIFS($A$2:$A$1501,A194,$D$2:$D$1501,D194)</f>
        <v/>
      </c>
    </row>
    <row r="195" ht="23.85" customHeight="1" s="26">
      <c r="A195" s="35" t="n">
        <v>39</v>
      </c>
      <c r="B195" s="41" t="n">
        <v>46338</v>
      </c>
      <c r="C195" s="35" t="n">
        <v>4</v>
      </c>
      <c r="D195" s="33" t="inlineStr">
        <is>
          <t>Buildings and Engineering</t>
        </is>
      </c>
      <c r="E195" s="36" t="inlineStr">
        <is>
          <t>How many stone blocks make up the Great Pyramid of Giza?</t>
        </is>
      </c>
      <c r="F195" s="42" t="n">
        <v>2300000</v>
      </c>
      <c r="G195" s="33" t="inlineStr">
        <is>
          <t>blocks</t>
        </is>
      </c>
      <c r="H195" s="35" t="inlineStr">
        <is>
          <t>Hard</t>
        </is>
      </c>
      <c r="I195" s="33" t="inlineStr">
        <is>
          <t>Official operator sites / CTBUH / Britannica</t>
        </is>
      </c>
      <c r="J195" s="35" t="n"/>
      <c r="K195" s="33" t="n"/>
      <c r="L195" s="35">
        <f>COUNTIFS($A$2:$A$1501,A195,$D$2:$D$1501,D195)</f>
        <v/>
      </c>
    </row>
    <row r="196" ht="23.85" customHeight="1" s="26">
      <c r="A196" s="35" t="n">
        <v>39</v>
      </c>
      <c r="B196" s="41" t="n">
        <v>46338</v>
      </c>
      <c r="C196" s="35" t="n">
        <v>5</v>
      </c>
      <c r="D196" s="33" t="inlineStr">
        <is>
          <t>Distance of the Day</t>
        </is>
      </c>
      <c r="E196" s="36" t="inlineStr">
        <is>
          <t>How far is it in a straight line from Halifax to Beijing?</t>
        </is>
      </c>
      <c r="F196" s="42" t="n">
        <v>10610</v>
      </c>
      <c r="G196" s="33" t="inlineStr">
        <is>
          <t>km</t>
        </is>
      </c>
      <c r="H196" s="35" t="inlineStr">
        <is>
          <t>Hard</t>
        </is>
      </c>
      <c r="I196" s="33" t="inlineStr">
        <is>
          <t>Computed great-circle distance (city centre to city centre)</t>
        </is>
      </c>
      <c r="J196" s="35" t="n"/>
      <c r="K196" s="33" t="n"/>
      <c r="L196" s="35">
        <f>COUNTIFS($A$2:$A$1501,A196,$D$2:$D$1501,D196)</f>
        <v/>
      </c>
    </row>
    <row r="197" ht="23.85" customHeight="1" s="26">
      <c r="A197" s="43" t="n">
        <v>40</v>
      </c>
      <c r="B197" s="44" t="n">
        <v>46339</v>
      </c>
      <c r="C197" s="43" t="n">
        <v>1</v>
      </c>
      <c r="D197" s="45" t="inlineStr">
        <is>
          <t>Animals and Nature</t>
        </is>
      </c>
      <c r="E197" s="46" t="inlineStr">
        <is>
          <t>How many trees are there on Earth?</t>
        </is>
      </c>
      <c r="F197" s="47" t="n">
        <v>3000</v>
      </c>
      <c r="G197" s="45" t="inlineStr">
        <is>
          <t>billion trees</t>
        </is>
      </c>
      <c r="H197" s="43" t="inlineStr">
        <is>
          <t>Medium</t>
        </is>
      </c>
      <c r="I197" s="45" t="inlineStr">
        <is>
          <t>Nature (2015)</t>
        </is>
      </c>
      <c r="J197" s="43" t="n"/>
      <c r="K197" s="45" t="n"/>
      <c r="L197" s="43">
        <f>COUNTIFS($A$2:$A$1501,A197,$D$2:$D$1501,D197)</f>
        <v/>
      </c>
    </row>
    <row r="198" ht="23.85" customHeight="1" s="26">
      <c r="A198" s="43" t="n">
        <v>40</v>
      </c>
      <c r="B198" s="44" t="n">
        <v>46339</v>
      </c>
      <c r="C198" s="43" t="n">
        <v>2</v>
      </c>
      <c r="D198" s="45" t="inlineStr">
        <is>
          <t>Canada</t>
        </is>
      </c>
      <c r="E198" s="46" t="inlineStr">
        <is>
          <t>How long is the Trans-Canada Highway?</t>
        </is>
      </c>
      <c r="F198" s="47" t="n">
        <v>7821</v>
      </c>
      <c r="G198" s="45" t="inlineStr">
        <is>
          <t>km</t>
        </is>
      </c>
      <c r="H198" s="43" t="inlineStr">
        <is>
          <t>Medium</t>
        </is>
      </c>
      <c r="I198" s="45" t="inlineStr">
        <is>
          <t>Natural Resources Canada / Statistics Canada / Parks Canada</t>
        </is>
      </c>
      <c r="J198" s="43" t="n"/>
      <c r="K198" s="45" t="n"/>
      <c r="L198" s="43">
        <f>COUNTIFS($A$2:$A$1501,A198,$D$2:$D$1501,D198)</f>
        <v/>
      </c>
    </row>
    <row r="199" ht="23.85" customHeight="1" s="26">
      <c r="A199" s="43" t="n">
        <v>40</v>
      </c>
      <c r="B199" s="44" t="n">
        <v>46339</v>
      </c>
      <c r="C199" s="43" t="n">
        <v>3</v>
      </c>
      <c r="D199" s="45" t="inlineStr">
        <is>
          <t>Human Body</t>
        </is>
      </c>
      <c r="E199" s="46" t="inlineStr">
        <is>
          <t>How many hairs are on the average human head?</t>
        </is>
      </c>
      <c r="F199" s="47" t="n">
        <v>100000</v>
      </c>
      <c r="G199" s="45" t="inlineStr">
        <is>
          <t>hairs</t>
        </is>
      </c>
      <c r="H199" s="43" t="inlineStr">
        <is>
          <t>Medium</t>
        </is>
      </c>
      <c r="I199" s="45" t="inlineStr">
        <is>
          <t>Cleveland Clinic / NIH / Guinness World Records</t>
        </is>
      </c>
      <c r="J199" s="43" t="n"/>
      <c r="K199" s="45" t="n"/>
      <c r="L199" s="43">
        <f>COUNTIFS($A$2:$A$1501,A199,$D$2:$D$1501,D199)</f>
        <v/>
      </c>
    </row>
    <row r="200" ht="23.85" customHeight="1" s="26">
      <c r="A200" s="43" t="n">
        <v>40</v>
      </c>
      <c r="B200" s="44" t="n">
        <v>46339</v>
      </c>
      <c r="C200" s="43" t="n">
        <v>4</v>
      </c>
      <c r="D200" s="45" t="inlineStr">
        <is>
          <t>Space and Science</t>
        </is>
      </c>
      <c r="E200" s="46" t="inlineStr">
        <is>
          <t>What is the Moon's diameter?</t>
        </is>
      </c>
      <c r="F200" s="47" t="n">
        <v>3474</v>
      </c>
      <c r="G200" s="45" t="inlineStr">
        <is>
          <t>km</t>
        </is>
      </c>
      <c r="H200" s="43" t="inlineStr">
        <is>
          <t>Hard</t>
        </is>
      </c>
      <c r="I200" s="45" t="inlineStr">
        <is>
          <t>NASA</t>
        </is>
      </c>
      <c r="J200" s="43" t="n"/>
      <c r="K200" s="45" t="n"/>
      <c r="L200" s="43">
        <f>COUNTIFS($A$2:$A$1501,A200,$D$2:$D$1501,D200)</f>
        <v/>
      </c>
    </row>
    <row r="201" ht="23.85" customHeight="1" s="26">
      <c r="A201" s="43" t="n">
        <v>40</v>
      </c>
      <c r="B201" s="44" t="n">
        <v>46339</v>
      </c>
      <c r="C201" s="43" t="n">
        <v>5</v>
      </c>
      <c r="D201" s="45" t="inlineStr">
        <is>
          <t>Distance of the Day</t>
        </is>
      </c>
      <c r="E201" s="46" t="inlineStr">
        <is>
          <t>How far is it in a straight line from Seoul to Sydney?</t>
        </is>
      </c>
      <c r="F201" s="47" t="n">
        <v>8330</v>
      </c>
      <c r="G201" s="45" t="inlineStr">
        <is>
          <t>km</t>
        </is>
      </c>
      <c r="H201" s="43" t="inlineStr">
        <is>
          <t>Hard</t>
        </is>
      </c>
      <c r="I201" s="45" t="inlineStr">
        <is>
          <t>Computed great-circle distance (city centre to city centre)</t>
        </is>
      </c>
      <c r="J201" s="43" t="n"/>
      <c r="K201" s="45" t="n"/>
      <c r="L201" s="43">
        <f>COUNTIFS($A$2:$A$1501,A201,$D$2:$D$1501,D201)</f>
        <v/>
      </c>
    </row>
    <row r="202" ht="23.85" customHeight="1" s="26">
      <c r="A202" s="35" t="n">
        <v>41</v>
      </c>
      <c r="B202" s="41" t="n">
        <v>46340</v>
      </c>
      <c r="C202" s="35" t="n">
        <v>1</v>
      </c>
      <c r="D202" s="33" t="inlineStr">
        <is>
          <t>Geography</t>
        </is>
      </c>
      <c r="E202" s="36" t="inlineStr">
        <is>
          <t>How tall is Mont Blanc, the highest peak in the Alps?</t>
        </is>
      </c>
      <c r="F202" s="42" t="n">
        <v>4806</v>
      </c>
      <c r="G202" s="33" t="inlineStr">
        <is>
          <t>metres</t>
        </is>
      </c>
      <c r="H202" s="35" t="inlineStr">
        <is>
          <t>Medium</t>
        </is>
      </c>
      <c r="I202" s="33" t="inlineStr">
        <is>
          <t>Britannica / national survey agencies</t>
        </is>
      </c>
      <c r="J202" s="35" t="n"/>
      <c r="K202" s="33" t="n"/>
      <c r="L202" s="35">
        <f>COUNTIFS($A$2:$A$1501,A202,$D$2:$D$1501,D202)</f>
        <v/>
      </c>
    </row>
    <row r="203" ht="23.85" customHeight="1" s="26">
      <c r="A203" s="35" t="n">
        <v>41</v>
      </c>
      <c r="B203" s="41" t="n">
        <v>46340</v>
      </c>
      <c r="C203" s="35" t="n">
        <v>2</v>
      </c>
      <c r="D203" s="33" t="inlineStr">
        <is>
          <t>Buildings and Engineering</t>
        </is>
      </c>
      <c r="E203" s="36" t="inlineStr">
        <is>
          <t>How long is the ring of the Large Hadron Collider?</t>
        </is>
      </c>
      <c r="F203" s="42" t="n">
        <v>27</v>
      </c>
      <c r="G203" s="33" t="inlineStr">
        <is>
          <t>km</t>
        </is>
      </c>
      <c r="H203" s="35" t="inlineStr">
        <is>
          <t>Medium</t>
        </is>
      </c>
      <c r="I203" s="33" t="inlineStr">
        <is>
          <t>CERN</t>
        </is>
      </c>
      <c r="J203" s="35" t="n"/>
      <c r="K203" s="33" t="n"/>
      <c r="L203" s="35">
        <f>COUNTIFS($A$2:$A$1501,A203,$D$2:$D$1501,D203)</f>
        <v/>
      </c>
    </row>
    <row r="204" ht="23.85" customHeight="1" s="26">
      <c r="A204" s="35" t="n">
        <v>41</v>
      </c>
      <c r="B204" s="41" t="n">
        <v>46340</v>
      </c>
      <c r="C204" s="35" t="n">
        <v>3</v>
      </c>
      <c r="D204" s="33" t="inlineStr">
        <is>
          <t>Sports</t>
        </is>
      </c>
      <c r="E204" s="36" t="inlineStr">
        <is>
          <t>How long is a cricket pitch?</t>
        </is>
      </c>
      <c r="F204" s="42" t="n">
        <v>22</v>
      </c>
      <c r="G204" s="33" t="inlineStr">
        <is>
          <t>yards</t>
        </is>
      </c>
      <c r="H204" s="35" t="inlineStr">
        <is>
          <t>Medium</t>
        </is>
      </c>
      <c r="I204" s="33" t="inlineStr">
        <is>
          <t>MCC Laws of Cricket</t>
        </is>
      </c>
      <c r="J204" s="35" t="n"/>
      <c r="K204" s="33" t="n"/>
      <c r="L204" s="35">
        <f>COUNTIFS($A$2:$A$1501,A204,$D$2:$D$1501,D204)</f>
        <v/>
      </c>
    </row>
    <row r="205" ht="23.85" customHeight="1" s="26">
      <c r="A205" s="35" t="n">
        <v>41</v>
      </c>
      <c r="B205" s="41" t="n">
        <v>46340</v>
      </c>
      <c r="C205" s="35" t="n">
        <v>4</v>
      </c>
      <c r="D205" s="33" t="inlineStr">
        <is>
          <t>Movies, Music and Games</t>
        </is>
      </c>
      <c r="E205" s="36" t="inlineStr">
        <is>
          <t>How much did the Eras Tour earn in total ticket sales?</t>
        </is>
      </c>
      <c r="F205" s="42" t="n">
        <v>2077</v>
      </c>
      <c r="G205" s="33" t="inlineStr">
        <is>
          <t>million US dollars</t>
        </is>
      </c>
      <c r="H205" s="35" t="inlineStr">
        <is>
          <t>Hard</t>
        </is>
      </c>
      <c r="I205" s="33" t="inlineStr">
        <is>
          <t>IMDb / official records / Guinness World Records</t>
        </is>
      </c>
      <c r="J205" s="35" t="n"/>
      <c r="K205" s="33" t="n"/>
      <c r="L205" s="35">
        <f>COUNTIFS($A$2:$A$1501,A205,$D$2:$D$1501,D205)</f>
        <v/>
      </c>
    </row>
    <row r="206" ht="23.85" customHeight="1" s="26">
      <c r="A206" s="35" t="n">
        <v>41</v>
      </c>
      <c r="B206" s="41" t="n">
        <v>46340</v>
      </c>
      <c r="C206" s="35" t="n">
        <v>5</v>
      </c>
      <c r="D206" s="33" t="inlineStr">
        <is>
          <t>Distance of the Day</t>
        </is>
      </c>
      <c r="E206" s="36" t="inlineStr">
        <is>
          <t>How far is it in a straight line from Halifax to Tokyo?</t>
        </is>
      </c>
      <c r="F206" s="42" t="n">
        <v>10780</v>
      </c>
      <c r="G206" s="33" t="inlineStr">
        <is>
          <t>km</t>
        </is>
      </c>
      <c r="H206" s="35" t="inlineStr">
        <is>
          <t>Hard</t>
        </is>
      </c>
      <c r="I206" s="33" t="inlineStr">
        <is>
          <t>Computed great-circle distance (city centre to city centre)</t>
        </is>
      </c>
      <c r="J206" s="35" t="n"/>
      <c r="K206" s="33" t="n"/>
      <c r="L206" s="35">
        <f>COUNTIFS($A$2:$A$1501,A206,$D$2:$D$1501,D206)</f>
        <v/>
      </c>
    </row>
    <row r="207" ht="23.85" customHeight="1" s="26">
      <c r="A207" s="43" t="n">
        <v>42</v>
      </c>
      <c r="B207" s="44" t="n">
        <v>46341</v>
      </c>
      <c r="C207" s="43" t="n">
        <v>1</v>
      </c>
      <c r="D207" s="45" t="inlineStr">
        <is>
          <t>Food and Everyday Life</t>
        </is>
      </c>
      <c r="E207" s="46" t="inlineStr">
        <is>
          <t>At what temperature does a popcorn kernel pop?</t>
        </is>
      </c>
      <c r="F207" s="47" t="n">
        <v>180</v>
      </c>
      <c r="G207" s="45" t="inlineStr">
        <is>
          <t>°C</t>
        </is>
      </c>
      <c r="H207" s="43" t="inlineStr">
        <is>
          <t>Medium</t>
        </is>
      </c>
      <c r="I207" s="45" t="inlineStr">
        <is>
          <t>Food industry bodies / USDA / Water Footprint Network</t>
        </is>
      </c>
      <c r="J207" s="43" t="n"/>
      <c r="K207" s="45" t="n"/>
      <c r="L207" s="43">
        <f>COUNTIFS($A$2:$A$1501,A207,$D$2:$D$1501,D207)</f>
        <v/>
      </c>
    </row>
    <row r="208" ht="23.85" customHeight="1" s="26">
      <c r="A208" s="43" t="n">
        <v>42</v>
      </c>
      <c r="B208" s="44" t="n">
        <v>46341</v>
      </c>
      <c r="C208" s="43" t="n">
        <v>2</v>
      </c>
      <c r="D208" s="45" t="inlineStr">
        <is>
          <t>History</t>
        </is>
      </c>
      <c r="E208" s="46" t="inlineStr">
        <is>
          <t>Roughly how many years did it take to build the Great Pyramid of Giza?</t>
        </is>
      </c>
      <c r="F208" s="47" t="n">
        <v>20</v>
      </c>
      <c r="G208" s="45" t="inlineStr">
        <is>
          <t>years</t>
        </is>
      </c>
      <c r="H208" s="43" t="inlineStr">
        <is>
          <t>Medium</t>
        </is>
      </c>
      <c r="I208" s="45" t="inlineStr">
        <is>
          <t>Britannica / national archives</t>
        </is>
      </c>
      <c r="J208" s="43" t="n"/>
      <c r="K208" s="45" t="n"/>
      <c r="L208" s="43">
        <f>COUNTIFS($A$2:$A$1501,A208,$D$2:$D$1501,D208)</f>
        <v/>
      </c>
    </row>
    <row r="209" ht="23.85" customHeight="1" s="26">
      <c r="A209" s="43" t="n">
        <v>42</v>
      </c>
      <c r="B209" s="44" t="n">
        <v>46341</v>
      </c>
      <c r="C209" s="43" t="n">
        <v>3</v>
      </c>
      <c r="D209" s="45" t="inlineStr">
        <is>
          <t>Space and Science</t>
        </is>
      </c>
      <c r="E209" s="46" t="inlineStr">
        <is>
          <t>What is Jupiter's diameter?</t>
        </is>
      </c>
      <c r="F209" s="47" t="n">
        <v>139820</v>
      </c>
      <c r="G209" s="45" t="inlineStr">
        <is>
          <t>km</t>
        </is>
      </c>
      <c r="H209" s="43" t="inlineStr">
        <is>
          <t>Hard</t>
        </is>
      </c>
      <c r="I209" s="45" t="inlineStr">
        <is>
          <t>NASA</t>
        </is>
      </c>
      <c r="J209" s="43" t="n"/>
      <c r="K209" s="45" t="n"/>
      <c r="L209" s="43">
        <f>COUNTIFS($A$2:$A$1501,A209,$D$2:$D$1501,D209)</f>
        <v/>
      </c>
    </row>
    <row r="210" ht="23.85" customHeight="1" s="26">
      <c r="A210" s="43" t="n">
        <v>42</v>
      </c>
      <c r="B210" s="44" t="n">
        <v>46341</v>
      </c>
      <c r="C210" s="43" t="n">
        <v>4</v>
      </c>
      <c r="D210" s="45" t="inlineStr">
        <is>
          <t>Human Body</t>
        </is>
      </c>
      <c r="E210" s="46" t="inlineStr">
        <is>
          <t>How many base pairs are in the human genome?</t>
        </is>
      </c>
      <c r="F210" s="47" t="n">
        <v>3.1</v>
      </c>
      <c r="G210" s="45" t="inlineStr">
        <is>
          <t>billion</t>
        </is>
      </c>
      <c r="H210" s="43" t="inlineStr">
        <is>
          <t>Hard</t>
        </is>
      </c>
      <c r="I210" s="45" t="inlineStr">
        <is>
          <t>National Human Genome Research Institute</t>
        </is>
      </c>
      <c r="J210" s="43" t="n"/>
      <c r="K210" s="45" t="n"/>
      <c r="L210" s="43">
        <f>COUNTIFS($A$2:$A$1501,A210,$D$2:$D$1501,D210)</f>
        <v/>
      </c>
    </row>
    <row r="211" ht="23.85" customHeight="1" s="26">
      <c r="A211" s="43" t="n">
        <v>42</v>
      </c>
      <c r="B211" s="44" t="n">
        <v>46341</v>
      </c>
      <c r="C211" s="43" t="n">
        <v>5</v>
      </c>
      <c r="D211" s="45" t="inlineStr">
        <is>
          <t>Distance of the Day</t>
        </is>
      </c>
      <c r="E211" s="46" t="inlineStr">
        <is>
          <t>How far is it in a straight line from Anchorage to Bangkok?</t>
        </is>
      </c>
      <c r="F211" s="47" t="n">
        <v>9680</v>
      </c>
      <c r="G211" s="45" t="inlineStr">
        <is>
          <t>km</t>
        </is>
      </c>
      <c r="H211" s="43" t="inlineStr">
        <is>
          <t>Hard</t>
        </is>
      </c>
      <c r="I211" s="45" t="inlineStr">
        <is>
          <t>Computed great-circle distance (city centre to city centre)</t>
        </is>
      </c>
      <c r="J211" s="43" t="n"/>
      <c r="K211" s="45" t="n"/>
      <c r="L211" s="43">
        <f>COUNTIFS($A$2:$A$1501,A211,$D$2:$D$1501,D211)</f>
        <v/>
      </c>
    </row>
    <row r="212" ht="23.85" customHeight="1" s="26">
      <c r="A212" s="35" t="n">
        <v>43</v>
      </c>
      <c r="B212" s="41" t="n">
        <v>46342</v>
      </c>
      <c r="C212" s="35" t="n">
        <v>1</v>
      </c>
      <c r="D212" s="33" t="inlineStr">
        <is>
          <t>Geography</t>
        </is>
      </c>
      <c r="E212" s="36" t="inlineStr">
        <is>
          <t>How long is the Danube River?</t>
        </is>
      </c>
      <c r="F212" s="42" t="n">
        <v>2850</v>
      </c>
      <c r="G212" s="33" t="inlineStr">
        <is>
          <t>km</t>
        </is>
      </c>
      <c r="H212" s="35" t="inlineStr">
        <is>
          <t>Medium</t>
        </is>
      </c>
      <c r="I212" s="33" t="inlineStr">
        <is>
          <t>Britannica / national survey agencies</t>
        </is>
      </c>
      <c r="J212" s="35" t="n"/>
      <c r="K212" s="33" t="n"/>
      <c r="L212" s="35">
        <f>COUNTIFS($A$2:$A$1501,A212,$D$2:$D$1501,D212)</f>
        <v/>
      </c>
    </row>
    <row r="213" ht="23.85" customHeight="1" s="26">
      <c r="A213" s="35" t="n">
        <v>43</v>
      </c>
      <c r="B213" s="41" t="n">
        <v>46342</v>
      </c>
      <c r="C213" s="35" t="n">
        <v>2</v>
      </c>
      <c r="D213" s="33" t="inlineStr">
        <is>
          <t>Buildings and Engineering</t>
        </is>
      </c>
      <c r="E213" s="36" t="inlineStr">
        <is>
          <t>How tall is Elizabeth Tower, home of Big Ben?</t>
        </is>
      </c>
      <c r="F213" s="42" t="n">
        <v>96</v>
      </c>
      <c r="G213" s="33" t="inlineStr">
        <is>
          <t>metres</t>
        </is>
      </c>
      <c r="H213" s="35" t="inlineStr">
        <is>
          <t>Medium</t>
        </is>
      </c>
      <c r="I213" s="33" t="inlineStr">
        <is>
          <t>UK Parliament</t>
        </is>
      </c>
      <c r="J213" s="35" t="n"/>
      <c r="K213" s="33" t="n"/>
      <c r="L213" s="35">
        <f>COUNTIFS($A$2:$A$1501,A213,$D$2:$D$1501,D213)</f>
        <v/>
      </c>
    </row>
    <row r="214" ht="23.85" customHeight="1" s="26">
      <c r="A214" s="35" t="n">
        <v>43</v>
      </c>
      <c r="B214" s="41" t="n">
        <v>46342</v>
      </c>
      <c r="C214" s="35" t="n">
        <v>3</v>
      </c>
      <c r="D214" s="33" t="inlineStr">
        <is>
          <t>Sports</t>
        </is>
      </c>
      <c r="E214" s="36" t="inlineStr">
        <is>
          <t>How many goals did Wayne Gretzky score in the 1981-82 NHL season?</t>
        </is>
      </c>
      <c r="F214" s="42" t="n">
        <v>92</v>
      </c>
      <c r="G214" s="33" t="inlineStr">
        <is>
          <t>goals</t>
        </is>
      </c>
      <c r="H214" s="35" t="inlineStr">
        <is>
          <t>Medium</t>
        </is>
      </c>
      <c r="I214" s="33" t="inlineStr">
        <is>
          <t>NHL Records</t>
        </is>
      </c>
      <c r="J214" s="35" t="n"/>
      <c r="K214" s="33" t="n"/>
      <c r="L214" s="35">
        <f>COUNTIFS($A$2:$A$1501,A214,$D$2:$D$1501,D214)</f>
        <v/>
      </c>
    </row>
    <row r="215" ht="23.85" customHeight="1" s="26">
      <c r="A215" s="35" t="n">
        <v>43</v>
      </c>
      <c r="B215" s="41" t="n">
        <v>46342</v>
      </c>
      <c r="C215" s="35" t="n">
        <v>4</v>
      </c>
      <c r="D215" s="33" t="inlineStr">
        <is>
          <t>Movies, Music and Games</t>
        </is>
      </c>
      <c r="E215" s="36" t="inlineStr">
        <is>
          <t>How many strings does a concert pedal harp have?</t>
        </is>
      </c>
      <c r="F215" s="42" t="n">
        <v>47</v>
      </c>
      <c r="G215" s="33" t="inlineStr">
        <is>
          <t>strings</t>
        </is>
      </c>
      <c r="H215" s="35" t="inlineStr">
        <is>
          <t>Hard</t>
        </is>
      </c>
      <c r="I215" s="33" t="inlineStr">
        <is>
          <t>IMDb / official records / Guinness World Records</t>
        </is>
      </c>
      <c r="J215" s="35" t="n"/>
      <c r="K215" s="33" t="n"/>
      <c r="L215" s="35">
        <f>COUNTIFS($A$2:$A$1501,A215,$D$2:$D$1501,D215)</f>
        <v/>
      </c>
    </row>
    <row r="216" ht="23.85" customHeight="1" s="26">
      <c r="A216" s="35" t="n">
        <v>43</v>
      </c>
      <c r="B216" s="41" t="n">
        <v>46342</v>
      </c>
      <c r="C216" s="35" t="n">
        <v>5</v>
      </c>
      <c r="D216" s="33" t="inlineStr">
        <is>
          <t>Distance of the Day</t>
        </is>
      </c>
      <c r="E216" s="36" t="inlineStr">
        <is>
          <t>How far is it in a straight line from Whitehorse to Karachi?</t>
        </is>
      </c>
      <c r="F216" s="42" t="n">
        <v>10290</v>
      </c>
      <c r="G216" s="33" t="inlineStr">
        <is>
          <t>km</t>
        </is>
      </c>
      <c r="H216" s="35" t="inlineStr">
        <is>
          <t>Hard</t>
        </is>
      </c>
      <c r="I216" s="33" t="inlineStr">
        <is>
          <t>Computed great-circle distance (city centre to city centre)</t>
        </is>
      </c>
      <c r="J216" s="35" t="n"/>
      <c r="K216" s="33" t="n"/>
      <c r="L216" s="35">
        <f>COUNTIFS($A$2:$A$1501,A216,$D$2:$D$1501,D216)</f>
        <v/>
      </c>
    </row>
    <row r="217" ht="23.85" customHeight="1" s="26">
      <c r="A217" s="43" t="n">
        <v>44</v>
      </c>
      <c r="B217" s="44" t="n">
        <v>46343</v>
      </c>
      <c r="C217" s="43" t="n">
        <v>1</v>
      </c>
      <c r="D217" s="45" t="inlineStr">
        <is>
          <t>Space and Science</t>
        </is>
      </c>
      <c r="E217" s="46" t="inlineStr">
        <is>
          <t>What is the atomic number of gold?</t>
        </is>
      </c>
      <c r="F217" s="47" t="n">
        <v>79</v>
      </c>
      <c r="G217" s="45" t="n"/>
      <c r="H217" s="43" t="inlineStr">
        <is>
          <t>Medium</t>
        </is>
      </c>
      <c r="I217" s="45" t="inlineStr">
        <is>
          <t>IUPAC</t>
        </is>
      </c>
      <c r="J217" s="43" t="n"/>
      <c r="K217" s="45" t="n"/>
      <c r="L217" s="43">
        <f>COUNTIFS($A$2:$A$1501,A217,$D$2:$D$1501,D217)</f>
        <v/>
      </c>
    </row>
    <row r="218" ht="23.85" customHeight="1" s="26">
      <c r="A218" s="43" t="n">
        <v>44</v>
      </c>
      <c r="B218" s="44" t="n">
        <v>46343</v>
      </c>
      <c r="C218" s="43" t="n">
        <v>2</v>
      </c>
      <c r="D218" s="45" t="inlineStr">
        <is>
          <t>Canada</t>
        </is>
      </c>
      <c r="E218" s="46" t="inlineStr">
        <is>
          <t>What percentage of the world's maple syrup comes from Quebec?</t>
        </is>
      </c>
      <c r="F218" s="47" t="n">
        <v>72</v>
      </c>
      <c r="G218" s="45" t="inlineStr">
        <is>
          <t>%</t>
        </is>
      </c>
      <c r="H218" s="43" t="inlineStr">
        <is>
          <t>Medium</t>
        </is>
      </c>
      <c r="I218" s="45" t="inlineStr">
        <is>
          <t>Quebec Maple Syrup Producers</t>
        </is>
      </c>
      <c r="J218" s="43" t="n"/>
      <c r="K218" s="45" t="n"/>
      <c r="L218" s="43">
        <f>COUNTIFS($A$2:$A$1501,A218,$D$2:$D$1501,D218)</f>
        <v/>
      </c>
    </row>
    <row r="219" ht="23.85" customHeight="1" s="26">
      <c r="A219" s="43" t="n">
        <v>44</v>
      </c>
      <c r="B219" s="44" t="n">
        <v>46343</v>
      </c>
      <c r="C219" s="43" t="n">
        <v>3</v>
      </c>
      <c r="D219" s="45" t="inlineStr">
        <is>
          <t>Food and Everyday Life</t>
        </is>
      </c>
      <c r="E219" s="46" t="inlineStr">
        <is>
          <t>How much caffeine is in a single shot of espresso?</t>
        </is>
      </c>
      <c r="F219" s="47" t="n">
        <v>63</v>
      </c>
      <c r="G219" s="45" t="inlineStr">
        <is>
          <t>mg</t>
        </is>
      </c>
      <c r="H219" s="43" t="inlineStr">
        <is>
          <t>Medium</t>
        </is>
      </c>
      <c r="I219" s="45" t="inlineStr">
        <is>
          <t>USDA</t>
        </is>
      </c>
      <c r="J219" s="43" t="n"/>
      <c r="K219" s="45" t="n"/>
      <c r="L219" s="43">
        <f>COUNTIFS($A$2:$A$1501,A219,$D$2:$D$1501,D219)</f>
        <v/>
      </c>
    </row>
    <row r="220" ht="23.85" customHeight="1" s="26">
      <c r="A220" s="43" t="n">
        <v>44</v>
      </c>
      <c r="B220" s="44" t="n">
        <v>46343</v>
      </c>
      <c r="C220" s="43" t="n">
        <v>4</v>
      </c>
      <c r="D220" s="45" t="inlineStr">
        <is>
          <t>Animals and Nature</t>
        </is>
      </c>
      <c r="E220" s="46" t="inlineStr">
        <is>
          <t>What is the hottest air temperature ever recorded on Earth?</t>
        </is>
      </c>
      <c r="F220" s="47" t="n">
        <v>56.7</v>
      </c>
      <c r="G220" s="45" t="inlineStr">
        <is>
          <t>°C</t>
        </is>
      </c>
      <c r="H220" s="43" t="inlineStr">
        <is>
          <t>Medium</t>
        </is>
      </c>
      <c r="I220" s="45" t="inlineStr">
        <is>
          <t>World Meteorological Organization</t>
        </is>
      </c>
      <c r="J220" s="43" t="n"/>
      <c r="K220" s="45" t="n"/>
      <c r="L220" s="43">
        <f>COUNTIFS($A$2:$A$1501,A220,$D$2:$D$1501,D220)</f>
        <v/>
      </c>
    </row>
    <row r="221" ht="23.85" customHeight="1" s="26">
      <c r="A221" s="43" t="n">
        <v>44</v>
      </c>
      <c r="B221" s="44" t="n">
        <v>46343</v>
      </c>
      <c r="C221" s="43" t="n">
        <v>5</v>
      </c>
      <c r="D221" s="45" t="inlineStr">
        <is>
          <t>Distance of the Day</t>
        </is>
      </c>
      <c r="E221" s="46" t="inlineStr">
        <is>
          <t>How far is it in a straight line from Lahore to Seoul?</t>
        </is>
      </c>
      <c r="F221" s="47" t="n">
        <v>4800</v>
      </c>
      <c r="G221" s="45" t="inlineStr">
        <is>
          <t>km</t>
        </is>
      </c>
      <c r="H221" s="43" t="inlineStr">
        <is>
          <t>Medium</t>
        </is>
      </c>
      <c r="I221" s="45" t="inlineStr">
        <is>
          <t>Computed great-circle distance (city centre to city centre)</t>
        </is>
      </c>
      <c r="J221" s="43" t="n"/>
      <c r="K221" s="45" t="n"/>
      <c r="L221" s="43">
        <f>COUNTIFS($A$2:$A$1501,A221,$D$2:$D$1501,D221)</f>
        <v/>
      </c>
    </row>
    <row r="222" ht="23.85" customHeight="1" s="26">
      <c r="A222" s="35" t="n">
        <v>45</v>
      </c>
      <c r="B222" s="41" t="n">
        <v>46344</v>
      </c>
      <c r="C222" s="35" t="n">
        <v>1</v>
      </c>
      <c r="D222" s="33" t="inlineStr">
        <is>
          <t>Geography</t>
        </is>
      </c>
      <c r="E222" s="36" t="inlineStr">
        <is>
          <t>How tall is Mount Fuji?</t>
        </is>
      </c>
      <c r="F222" s="42" t="n">
        <v>3776</v>
      </c>
      <c r="G222" s="33" t="inlineStr">
        <is>
          <t>metres</t>
        </is>
      </c>
      <c r="H222" s="35" t="inlineStr">
        <is>
          <t>Medium</t>
        </is>
      </c>
      <c r="I222" s="33" t="inlineStr">
        <is>
          <t>Britannica / national survey agencies</t>
        </is>
      </c>
      <c r="J222" s="35" t="n"/>
      <c r="K222" s="33" t="n"/>
      <c r="L222" s="35">
        <f>COUNTIFS($A$2:$A$1501,A222,$D$2:$D$1501,D222)</f>
        <v/>
      </c>
    </row>
    <row r="223" ht="23.85" customHeight="1" s="26">
      <c r="A223" s="35" t="n">
        <v>45</v>
      </c>
      <c r="B223" s="41" t="n">
        <v>46344</v>
      </c>
      <c r="C223" s="35" t="n">
        <v>2</v>
      </c>
      <c r="D223" s="33" t="inlineStr">
        <is>
          <t>Movies, Music and Games</t>
        </is>
      </c>
      <c r="E223" s="36" t="inlineStr">
        <is>
          <t>How long is Shrek?</t>
        </is>
      </c>
      <c r="F223" s="42" t="n">
        <v>90</v>
      </c>
      <c r="G223" s="33" t="inlineStr">
        <is>
          <t>minutes</t>
        </is>
      </c>
      <c r="H223" s="35" t="inlineStr">
        <is>
          <t>Medium</t>
        </is>
      </c>
      <c r="I223" s="33" t="inlineStr">
        <is>
          <t>IMDb</t>
        </is>
      </c>
      <c r="J223" s="35" t="n"/>
      <c r="K223" s="33" t="n"/>
      <c r="L223" s="35">
        <f>COUNTIFS($A$2:$A$1501,A223,$D$2:$D$1501,D223)</f>
        <v/>
      </c>
    </row>
    <row r="224" ht="23.85" customHeight="1" s="26">
      <c r="A224" s="35" t="n">
        <v>45</v>
      </c>
      <c r="B224" s="41" t="n">
        <v>46344</v>
      </c>
      <c r="C224" s="35" t="n">
        <v>3</v>
      </c>
      <c r="D224" s="33" t="inlineStr">
        <is>
          <t>Buildings and Engineering</t>
        </is>
      </c>
      <c r="E224" s="36" t="inlineStr">
        <is>
          <t>How tall is the Shanghai Tower?</t>
        </is>
      </c>
      <c r="F224" s="42" t="n">
        <v>632</v>
      </c>
      <c r="G224" s="33" t="inlineStr">
        <is>
          <t>metres</t>
        </is>
      </c>
      <c r="H224" s="35" t="inlineStr">
        <is>
          <t>Hard</t>
        </is>
      </c>
      <c r="I224" s="33" t="inlineStr">
        <is>
          <t>CTBUH</t>
        </is>
      </c>
      <c r="J224" s="35" t="n"/>
      <c r="K224" s="33" t="n"/>
      <c r="L224" s="35">
        <f>COUNTIFS($A$2:$A$1501,A224,$D$2:$D$1501,D224)</f>
        <v/>
      </c>
    </row>
    <row r="225" ht="23.85" customHeight="1" s="26">
      <c r="A225" s="35" t="n">
        <v>45</v>
      </c>
      <c r="B225" s="41" t="n">
        <v>46344</v>
      </c>
      <c r="C225" s="35" t="n">
        <v>4</v>
      </c>
      <c r="D225" s="33" t="inlineStr">
        <is>
          <t>Sports</t>
        </is>
      </c>
      <c r="E225" s="36" t="inlineStr">
        <is>
          <t>How many rushing yards did Eric Dickerson gain in his record 1984 season?</t>
        </is>
      </c>
      <c r="F225" s="42" t="n">
        <v>2105</v>
      </c>
      <c r="G225" s="33" t="inlineStr">
        <is>
          <t>yards</t>
        </is>
      </c>
      <c r="H225" s="35" t="inlineStr">
        <is>
          <t>Hard</t>
        </is>
      </c>
      <c r="I225" s="33" t="inlineStr">
        <is>
          <t>NFL.com</t>
        </is>
      </c>
      <c r="J225" s="35" t="n"/>
      <c r="K225" s="33" t="n"/>
      <c r="L225" s="35">
        <f>COUNTIFS($A$2:$A$1501,A225,$D$2:$D$1501,D225)</f>
        <v/>
      </c>
    </row>
    <row r="226" ht="23.85" customHeight="1" s="26">
      <c r="A226" s="35" t="n">
        <v>45</v>
      </c>
      <c r="B226" s="41" t="n">
        <v>46344</v>
      </c>
      <c r="C226" s="35" t="n">
        <v>5</v>
      </c>
      <c r="D226" s="33" t="inlineStr">
        <is>
          <t>Distance of the Day</t>
        </is>
      </c>
      <c r="E226" s="36" t="inlineStr">
        <is>
          <t>How far is it in a straight line from Halifax to Seoul?</t>
        </is>
      </c>
      <c r="F226" s="42" t="n">
        <v>10810</v>
      </c>
      <c r="G226" s="33" t="inlineStr">
        <is>
          <t>km</t>
        </is>
      </c>
      <c r="H226" s="35" t="inlineStr">
        <is>
          <t>Hard</t>
        </is>
      </c>
      <c r="I226" s="33" t="inlineStr">
        <is>
          <t>Computed great-circle distance (city centre to city centre)</t>
        </is>
      </c>
      <c r="J226" s="35" t="n"/>
      <c r="K226" s="33" t="n"/>
      <c r="L226" s="35">
        <f>COUNTIFS($A$2:$A$1501,A226,$D$2:$D$1501,D226)</f>
        <v/>
      </c>
    </row>
    <row r="227" ht="23.85" customHeight="1" s="26">
      <c r="A227" s="43" t="n">
        <v>46</v>
      </c>
      <c r="B227" s="44" t="n">
        <v>46345</v>
      </c>
      <c r="C227" s="43" t="n">
        <v>1</v>
      </c>
      <c r="D227" s="45" t="inlineStr">
        <is>
          <t>Space and Science</t>
        </is>
      </c>
      <c r="E227" s="46" t="inlineStr">
        <is>
          <t>What is the atomic number of silver?</t>
        </is>
      </c>
      <c r="F227" s="47" t="n">
        <v>47</v>
      </c>
      <c r="G227" s="45" t="n"/>
      <c r="H227" s="43" t="inlineStr">
        <is>
          <t>Medium</t>
        </is>
      </c>
      <c r="I227" s="45" t="inlineStr">
        <is>
          <t>IUPAC</t>
        </is>
      </c>
      <c r="J227" s="43" t="n"/>
      <c r="K227" s="45" t="n"/>
      <c r="L227" s="43">
        <f>COUNTIFS($A$2:$A$1501,A227,$D$2:$D$1501,D227)</f>
        <v/>
      </c>
    </row>
    <row r="228" ht="23.85" customHeight="1" s="26">
      <c r="A228" s="43" t="n">
        <v>46</v>
      </c>
      <c r="B228" s="44" t="n">
        <v>46345</v>
      </c>
      <c r="C228" s="43" t="n">
        <v>2</v>
      </c>
      <c r="D228" s="45" t="inlineStr">
        <is>
          <t>Food and Everyday Life</t>
        </is>
      </c>
      <c r="E228" s="46" t="inlineStr">
        <is>
          <t>How many teaspoons are in one cup?</t>
        </is>
      </c>
      <c r="F228" s="47" t="n">
        <v>48</v>
      </c>
      <c r="G228" s="45" t="inlineStr">
        <is>
          <t>teaspoons</t>
        </is>
      </c>
      <c r="H228" s="43" t="inlineStr">
        <is>
          <t>Medium</t>
        </is>
      </c>
      <c r="I228" s="45" t="inlineStr">
        <is>
          <t>Food industry bodies / USDA / Water Footprint Network</t>
        </is>
      </c>
      <c r="J228" s="43" t="n"/>
      <c r="K228" s="45" t="n"/>
      <c r="L228" s="43">
        <f>COUNTIFS($A$2:$A$1501,A228,$D$2:$D$1501,D228)</f>
        <v/>
      </c>
    </row>
    <row r="229" ht="23.85" customHeight="1" s="26">
      <c r="A229" s="43" t="n">
        <v>46</v>
      </c>
      <c r="B229" s="44" t="n">
        <v>46345</v>
      </c>
      <c r="C229" s="43" t="n">
        <v>3</v>
      </c>
      <c r="D229" s="45" t="inlineStr">
        <is>
          <t>Animals and Nature</t>
        </is>
      </c>
      <c r="E229" s="46" t="inlineStr">
        <is>
          <t>How long is the Great Barrier Reef?</t>
        </is>
      </c>
      <c r="F229" s="47" t="n">
        <v>2300</v>
      </c>
      <c r="G229" s="45" t="inlineStr">
        <is>
          <t>km</t>
        </is>
      </c>
      <c r="H229" s="43" t="inlineStr">
        <is>
          <t>Medium</t>
        </is>
      </c>
      <c r="I229" s="45" t="inlineStr">
        <is>
          <t>Great Barrier Reef Marine Park Authority</t>
        </is>
      </c>
      <c r="J229" s="43" t="n"/>
      <c r="K229" s="45" t="n"/>
      <c r="L229" s="43">
        <f>COUNTIFS($A$2:$A$1501,A229,$D$2:$D$1501,D229)</f>
        <v/>
      </c>
    </row>
    <row r="230" ht="23.85" customHeight="1" s="26">
      <c r="A230" s="43" t="n">
        <v>46</v>
      </c>
      <c r="B230" s="44" t="n">
        <v>46345</v>
      </c>
      <c r="C230" s="43" t="n">
        <v>4</v>
      </c>
      <c r="D230" s="45" t="inlineStr">
        <is>
          <t>History</t>
        </is>
      </c>
      <c r="E230" s="46" t="inlineStr">
        <is>
          <t>How many houses were destroyed in the Great Fire of London in 1666?</t>
        </is>
      </c>
      <c r="F230" s="47" t="n">
        <v>13200</v>
      </c>
      <c r="G230" s="45" t="inlineStr">
        <is>
          <t>houses</t>
        </is>
      </c>
      <c r="H230" s="43" t="inlineStr">
        <is>
          <t>Hard</t>
        </is>
      </c>
      <c r="I230" s="45" t="inlineStr">
        <is>
          <t>Museum of London</t>
        </is>
      </c>
      <c r="J230" s="43" t="n"/>
      <c r="K230" s="45" t="n"/>
      <c r="L230" s="43">
        <f>COUNTIFS($A$2:$A$1501,A230,$D$2:$D$1501,D230)</f>
        <v/>
      </c>
    </row>
    <row r="231" ht="23.85" customHeight="1" s="26">
      <c r="A231" s="43" t="n">
        <v>46</v>
      </c>
      <c r="B231" s="44" t="n">
        <v>46345</v>
      </c>
      <c r="C231" s="43" t="n">
        <v>5</v>
      </c>
      <c r="D231" s="45" t="inlineStr">
        <is>
          <t>Distance of the Day</t>
        </is>
      </c>
      <c r="E231" s="46" t="inlineStr">
        <is>
          <t>How far is it in a straight line from Honolulu to Cape Town?</t>
        </is>
      </c>
      <c r="F231" s="47" t="n">
        <v>18570</v>
      </c>
      <c r="G231" s="45" t="inlineStr">
        <is>
          <t>km</t>
        </is>
      </c>
      <c r="H231" s="43" t="inlineStr">
        <is>
          <t>Hard</t>
        </is>
      </c>
      <c r="I231" s="45" t="inlineStr">
        <is>
          <t>Computed great-circle distance (city centre to city centre)</t>
        </is>
      </c>
      <c r="J231" s="43" t="n"/>
      <c r="K231" s="45" t="n"/>
      <c r="L231" s="43">
        <f>COUNTIFS($A$2:$A$1501,A231,$D$2:$D$1501,D231)</f>
        <v/>
      </c>
    </row>
    <row r="232" ht="23.85" customHeight="1" s="26">
      <c r="A232" s="35" t="n">
        <v>47</v>
      </c>
      <c r="B232" s="41" t="n">
        <v>46346</v>
      </c>
      <c r="C232" s="35" t="n">
        <v>1</v>
      </c>
      <c r="D232" s="33" t="inlineStr">
        <is>
          <t>Buildings and Engineering</t>
        </is>
      </c>
      <c r="E232" s="36" t="inlineStr">
        <is>
          <t>How tall is the Christ the Redeemer statue, not counting its pedestal?</t>
        </is>
      </c>
      <c r="F232" s="42" t="n">
        <v>30</v>
      </c>
      <c r="G232" s="33" t="inlineStr">
        <is>
          <t>metres</t>
        </is>
      </c>
      <c r="H232" s="35" t="inlineStr">
        <is>
          <t>Medium</t>
        </is>
      </c>
      <c r="I232" s="33" t="inlineStr">
        <is>
          <t>Official operator sites / CTBUH / Britannica</t>
        </is>
      </c>
      <c r="J232" s="35" t="n"/>
      <c r="K232" s="33" t="n"/>
      <c r="L232" s="35">
        <f>COUNTIFS($A$2:$A$1501,A232,$D$2:$D$1501,D232)</f>
        <v/>
      </c>
    </row>
    <row r="233" ht="23.85" customHeight="1" s="26">
      <c r="A233" s="35" t="n">
        <v>47</v>
      </c>
      <c r="B233" s="41" t="n">
        <v>46346</v>
      </c>
      <c r="C233" s="35" t="n">
        <v>2</v>
      </c>
      <c r="D233" s="33" t="inlineStr">
        <is>
          <t>Sports</t>
        </is>
      </c>
      <c r="E233" s="36" t="inlineStr">
        <is>
          <t>How many perfect 10s did Nadia Comaneci score at the 1976 Olympics?</t>
        </is>
      </c>
      <c r="F233" s="42" t="n">
        <v>7</v>
      </c>
      <c r="G233" s="33" t="inlineStr">
        <is>
          <t>perfect 10s</t>
        </is>
      </c>
      <c r="H233" s="35" t="inlineStr">
        <is>
          <t>Medium</t>
        </is>
      </c>
      <c r="I233" s="33" t="inlineStr">
        <is>
          <t>Olympics.com</t>
        </is>
      </c>
      <c r="J233" s="35" t="n"/>
      <c r="K233" s="33" t="n"/>
      <c r="L233" s="35">
        <f>COUNTIFS($A$2:$A$1501,A233,$D$2:$D$1501,D233)</f>
        <v/>
      </c>
    </row>
    <row r="234" ht="23.85" customHeight="1" s="26">
      <c r="A234" s="35" t="n">
        <v>47</v>
      </c>
      <c r="B234" s="41" t="n">
        <v>46346</v>
      </c>
      <c r="C234" s="35" t="n">
        <v>3</v>
      </c>
      <c r="D234" s="33" t="inlineStr">
        <is>
          <t>Movies, Music and Games</t>
        </is>
      </c>
      <c r="E234" s="36" t="inlineStr">
        <is>
          <t>How long is Avengers: Endgame?</t>
        </is>
      </c>
      <c r="F234" s="42" t="n">
        <v>181</v>
      </c>
      <c r="G234" s="33" t="inlineStr">
        <is>
          <t>minutes</t>
        </is>
      </c>
      <c r="H234" s="35" t="inlineStr">
        <is>
          <t>Medium</t>
        </is>
      </c>
      <c r="I234" s="33" t="inlineStr">
        <is>
          <t>IMDb</t>
        </is>
      </c>
      <c r="J234" s="35" t="n"/>
      <c r="K234" s="33" t="n"/>
      <c r="L234" s="35">
        <f>COUNTIFS($A$2:$A$1501,A234,$D$2:$D$1501,D234)</f>
        <v/>
      </c>
    </row>
    <row r="235" ht="23.85" customHeight="1" s="26">
      <c r="A235" s="35" t="n">
        <v>47</v>
      </c>
      <c r="B235" s="41" t="n">
        <v>46346</v>
      </c>
      <c r="C235" s="35" t="n">
        <v>4</v>
      </c>
      <c r="D235" s="33" t="inlineStr">
        <is>
          <t>Geography</t>
        </is>
      </c>
      <c r="E235" s="36" t="inlineStr">
        <is>
          <t>How big is the Sahara Desert?</t>
        </is>
      </c>
      <c r="F235" s="42" t="n">
        <v>9200000</v>
      </c>
      <c r="G235" s="33" t="inlineStr">
        <is>
          <t>km²</t>
        </is>
      </c>
      <c r="H235" s="35" t="inlineStr">
        <is>
          <t>Hard</t>
        </is>
      </c>
      <c r="I235" s="33" t="inlineStr">
        <is>
          <t>Britannica / national survey agencies</t>
        </is>
      </c>
      <c r="J235" s="35" t="n"/>
      <c r="K235" s="33" t="n"/>
      <c r="L235" s="35">
        <f>COUNTIFS($A$2:$A$1501,A235,$D$2:$D$1501,D235)</f>
        <v/>
      </c>
    </row>
    <row r="236" ht="23.85" customHeight="1" s="26">
      <c r="A236" s="35" t="n">
        <v>47</v>
      </c>
      <c r="B236" s="41" t="n">
        <v>46346</v>
      </c>
      <c r="C236" s="35" t="n">
        <v>5</v>
      </c>
      <c r="D236" s="33" t="inlineStr">
        <is>
          <t>Distance of the Day</t>
        </is>
      </c>
      <c r="E236" s="36" t="inlineStr">
        <is>
          <t>How far is it in a straight line from St. John's to Karachi?</t>
        </is>
      </c>
      <c r="F236" s="42" t="n">
        <v>9960</v>
      </c>
      <c r="G236" s="33" t="inlineStr">
        <is>
          <t>km</t>
        </is>
      </c>
      <c r="H236" s="35" t="inlineStr">
        <is>
          <t>Hard</t>
        </is>
      </c>
      <c r="I236" s="33" t="inlineStr">
        <is>
          <t>Computed great-circle distance (city centre to city centre)</t>
        </is>
      </c>
      <c r="J236" s="35" t="n"/>
      <c r="K236" s="33" t="n"/>
      <c r="L236" s="35">
        <f>COUNTIFS($A$2:$A$1501,A236,$D$2:$D$1501,D236)</f>
        <v/>
      </c>
    </row>
    <row r="237" ht="23.85" customHeight="1" s="26">
      <c r="A237" s="43" t="n">
        <v>48</v>
      </c>
      <c r="B237" s="44" t="n">
        <v>46347</v>
      </c>
      <c r="C237" s="43" t="n">
        <v>1</v>
      </c>
      <c r="D237" s="45" t="inlineStr">
        <is>
          <t>Space and Science</t>
        </is>
      </c>
      <c r="E237" s="46" t="inlineStr">
        <is>
          <t>How old is Earth?</t>
        </is>
      </c>
      <c r="F237" s="47" t="n">
        <v>4.54</v>
      </c>
      <c r="G237" s="45" t="inlineStr">
        <is>
          <t>billion years</t>
        </is>
      </c>
      <c r="H237" s="43" t="inlineStr">
        <is>
          <t>Medium</t>
        </is>
      </c>
      <c r="I237" s="45" t="inlineStr">
        <is>
          <t>USGS</t>
        </is>
      </c>
      <c r="J237" s="43" t="n"/>
      <c r="K237" s="45" t="n"/>
      <c r="L237" s="43">
        <f>COUNTIFS($A$2:$A$1501,A237,$D$2:$D$1501,D237)</f>
        <v/>
      </c>
    </row>
    <row r="238" ht="23.85" customHeight="1" s="26">
      <c r="A238" s="43" t="n">
        <v>48</v>
      </c>
      <c r="B238" s="44" t="n">
        <v>46347</v>
      </c>
      <c r="C238" s="43" t="n">
        <v>2</v>
      </c>
      <c r="D238" s="45" t="inlineStr">
        <is>
          <t>Canada</t>
        </is>
      </c>
      <c r="E238" s="46" t="inlineStr">
        <is>
          <t>How many islands make up the Thousand Islands?</t>
        </is>
      </c>
      <c r="F238" s="47" t="n">
        <v>1864</v>
      </c>
      <c r="G238" s="45" t="inlineStr">
        <is>
          <t>islands</t>
        </is>
      </c>
      <c r="H238" s="43" t="inlineStr">
        <is>
          <t>Medium</t>
        </is>
      </c>
      <c r="I238" s="45" t="inlineStr">
        <is>
          <t>Natural Resources Canada / Statistics Canada / Parks Canada</t>
        </is>
      </c>
      <c r="J238" s="43" t="n"/>
      <c r="K238" s="45" t="n"/>
      <c r="L238" s="43">
        <f>COUNTIFS($A$2:$A$1501,A238,$D$2:$D$1501,D238)</f>
        <v/>
      </c>
    </row>
    <row r="239" ht="23.85" customHeight="1" s="26">
      <c r="A239" s="43" t="n">
        <v>48</v>
      </c>
      <c r="B239" s="44" t="n">
        <v>46347</v>
      </c>
      <c r="C239" s="43" t="n">
        <v>3</v>
      </c>
      <c r="D239" s="45" t="inlineStr">
        <is>
          <t>History</t>
        </is>
      </c>
      <c r="E239" s="46" t="inlineStr">
        <is>
          <t>How many people died when the Titanic sank?</t>
        </is>
      </c>
      <c r="F239" s="47" t="n">
        <v>1500</v>
      </c>
      <c r="G239" s="45" t="inlineStr">
        <is>
          <t>people</t>
        </is>
      </c>
      <c r="H239" s="43" t="inlineStr">
        <is>
          <t>Medium</t>
        </is>
      </c>
      <c r="I239" s="45" t="inlineStr">
        <is>
          <t>Britannica / national archives</t>
        </is>
      </c>
      <c r="J239" s="43" t="n"/>
      <c r="K239" s="45" t="n"/>
      <c r="L239" s="43">
        <f>COUNTIFS($A$2:$A$1501,A239,$D$2:$D$1501,D239)</f>
        <v/>
      </c>
    </row>
    <row r="240" ht="23.85" customHeight="1" s="26">
      <c r="A240" s="43" t="n">
        <v>48</v>
      </c>
      <c r="B240" s="44" t="n">
        <v>46347</v>
      </c>
      <c r="C240" s="43" t="n">
        <v>4</v>
      </c>
      <c r="D240" s="45" t="inlineStr">
        <is>
          <t>Human Body</t>
        </is>
      </c>
      <c r="E240" s="46" t="inlineStr">
        <is>
          <t>How many hours did Randy Gardner go without sleep in his famous 1964 experiment?</t>
        </is>
      </c>
      <c r="F240" s="47" t="n">
        <v>264</v>
      </c>
      <c r="G240" s="45" t="inlineStr">
        <is>
          <t>hours</t>
        </is>
      </c>
      <c r="H240" s="43" t="inlineStr">
        <is>
          <t>Hard</t>
        </is>
      </c>
      <c r="I240" s="45" t="inlineStr">
        <is>
          <t>Guinness World Records</t>
        </is>
      </c>
      <c r="J240" s="43" t="n"/>
      <c r="K240" s="45" t="n"/>
      <c r="L240" s="43">
        <f>COUNTIFS($A$2:$A$1501,A240,$D$2:$D$1501,D240)</f>
        <v/>
      </c>
    </row>
    <row r="241" ht="23.85" customHeight="1" s="26">
      <c r="A241" s="43" t="n">
        <v>48</v>
      </c>
      <c r="B241" s="44" t="n">
        <v>46347</v>
      </c>
      <c r="C241" s="43" t="n">
        <v>5</v>
      </c>
      <c r="D241" s="45" t="inlineStr">
        <is>
          <t>Distance of the Day</t>
        </is>
      </c>
      <c r="E241" s="46" t="inlineStr">
        <is>
          <t>How far is it in a straight line from Karachi to Lahore?</t>
        </is>
      </c>
      <c r="F241" s="47" t="n">
        <v>1030</v>
      </c>
      <c r="G241" s="45" t="inlineStr">
        <is>
          <t>km</t>
        </is>
      </c>
      <c r="H241" s="43" t="inlineStr">
        <is>
          <t>Easy</t>
        </is>
      </c>
      <c r="I241" s="45" t="inlineStr">
        <is>
          <t>Computed great-circle distance (city centre to city centre)</t>
        </is>
      </c>
      <c r="J241" s="43" t="n"/>
      <c r="K241" s="45" t="n"/>
      <c r="L241" s="43">
        <f>COUNTIFS($A$2:$A$1501,A241,$D$2:$D$1501,D241)</f>
        <v/>
      </c>
    </row>
    <row r="242" ht="23.85" customHeight="1" s="26">
      <c r="A242" s="35" t="n">
        <v>49</v>
      </c>
      <c r="B242" s="41" t="n">
        <v>46348</v>
      </c>
      <c r="C242" s="35" t="n">
        <v>1</v>
      </c>
      <c r="D242" s="33" t="inlineStr">
        <is>
          <t>Geography</t>
        </is>
      </c>
      <c r="E242" s="36" t="inlineStr">
        <is>
          <t>How far below sea level is Badwater Basin in Death Valley?</t>
        </is>
      </c>
      <c r="F242" s="42" t="n">
        <v>86</v>
      </c>
      <c r="G242" s="33" t="inlineStr">
        <is>
          <t>metres</t>
        </is>
      </c>
      <c r="H242" s="35" t="inlineStr">
        <is>
          <t>Medium</t>
        </is>
      </c>
      <c r="I242" s="33" t="inlineStr">
        <is>
          <t>US National Park Service</t>
        </is>
      </c>
      <c r="J242" s="35" t="n"/>
      <c r="K242" s="33" t="n"/>
      <c r="L242" s="35">
        <f>COUNTIFS($A$2:$A$1501,A242,$D$2:$D$1501,D242)</f>
        <v/>
      </c>
    </row>
    <row r="243" ht="23.85" customHeight="1" s="26">
      <c r="A243" s="35" t="n">
        <v>49</v>
      </c>
      <c r="B243" s="41" t="n">
        <v>46348</v>
      </c>
      <c r="C243" s="35" t="n">
        <v>2</v>
      </c>
      <c r="D243" s="33" t="inlineStr">
        <is>
          <t>Movies, Music and Games</t>
        </is>
      </c>
      <c r="E243" s="36" t="inlineStr">
        <is>
          <t>How many episodes of Breaking Bad were made?</t>
        </is>
      </c>
      <c r="F243" s="42" t="n">
        <v>62</v>
      </c>
      <c r="G243" s="33" t="inlineStr">
        <is>
          <t>episodes</t>
        </is>
      </c>
      <c r="H243" s="35" t="inlineStr">
        <is>
          <t>Medium</t>
        </is>
      </c>
      <c r="I243" s="33" t="inlineStr">
        <is>
          <t>IMDb / official records / Guinness World Records</t>
        </is>
      </c>
      <c r="J243" s="35" t="n"/>
      <c r="K243" s="33" t="n"/>
      <c r="L243" s="35">
        <f>COUNTIFS($A$2:$A$1501,A243,$D$2:$D$1501,D243)</f>
        <v/>
      </c>
    </row>
    <row r="244" ht="23.85" customHeight="1" s="26">
      <c r="A244" s="35" t="n">
        <v>49</v>
      </c>
      <c r="B244" s="41" t="n">
        <v>46348</v>
      </c>
      <c r="C244" s="35" t="n">
        <v>3</v>
      </c>
      <c r="D244" s="33" t="inlineStr">
        <is>
          <t>Buildings and Engineering</t>
        </is>
      </c>
      <c r="E244" s="36" t="inlineStr">
        <is>
          <t>How long is the Golden Gate Bridge in total?</t>
        </is>
      </c>
      <c r="F244" s="42" t="n">
        <v>2737</v>
      </c>
      <c r="G244" s="33" t="inlineStr">
        <is>
          <t>metres</t>
        </is>
      </c>
      <c r="H244" s="35" t="inlineStr">
        <is>
          <t>Hard</t>
        </is>
      </c>
      <c r="I244" s="33" t="inlineStr">
        <is>
          <t>Golden Gate Bridge District</t>
        </is>
      </c>
      <c r="J244" s="35" t="n"/>
      <c r="K244" s="33" t="n"/>
      <c r="L244" s="35">
        <f>COUNTIFS($A$2:$A$1501,A244,$D$2:$D$1501,D244)</f>
        <v/>
      </c>
    </row>
    <row r="245" ht="23.85" customHeight="1" s="26">
      <c r="A245" s="35" t="n">
        <v>49</v>
      </c>
      <c r="B245" s="41" t="n">
        <v>46348</v>
      </c>
      <c r="C245" s="35" t="n">
        <v>4</v>
      </c>
      <c r="D245" s="33" t="inlineStr">
        <is>
          <t>Sports</t>
        </is>
      </c>
      <c r="E245" s="36" t="inlineStr">
        <is>
          <t>How many people does Wimbledon's Centre Court seat?</t>
        </is>
      </c>
      <c r="F245" s="42" t="n">
        <v>14979</v>
      </c>
      <c r="G245" s="33" t="inlineStr">
        <is>
          <t>seats</t>
        </is>
      </c>
      <c r="H245" s="35" t="inlineStr">
        <is>
          <t>Hard</t>
        </is>
      </c>
      <c r="I245" s="33" t="inlineStr">
        <is>
          <t>AELTC</t>
        </is>
      </c>
      <c r="J245" s="35" t="n"/>
      <c r="K245" s="33" t="n"/>
      <c r="L245" s="35">
        <f>COUNTIFS($A$2:$A$1501,A245,$D$2:$D$1501,D245)</f>
        <v/>
      </c>
    </row>
    <row r="246" ht="23.85" customHeight="1" s="26">
      <c r="A246" s="35" t="n">
        <v>49</v>
      </c>
      <c r="B246" s="41" t="n">
        <v>46348</v>
      </c>
      <c r="C246" s="35" t="n">
        <v>5</v>
      </c>
      <c r="D246" s="33" t="inlineStr">
        <is>
          <t>Distance of the Day</t>
        </is>
      </c>
      <c r="E246" s="36" t="inlineStr">
        <is>
          <t>How far is it in a straight line from Halifax to Cairo?</t>
        </is>
      </c>
      <c r="F246" s="42" t="n">
        <v>8060</v>
      </c>
      <c r="G246" s="33" t="inlineStr">
        <is>
          <t>km</t>
        </is>
      </c>
      <c r="H246" s="35" t="inlineStr">
        <is>
          <t>Hard</t>
        </is>
      </c>
      <c r="I246" s="33" t="inlineStr">
        <is>
          <t>Computed great-circle distance (city centre to city centre)</t>
        </is>
      </c>
      <c r="J246" s="35" t="n"/>
      <c r="K246" s="33" t="n"/>
      <c r="L246" s="35">
        <f>COUNTIFS($A$2:$A$1501,A246,$D$2:$D$1501,D246)</f>
        <v/>
      </c>
    </row>
    <row r="247" ht="23.85" customHeight="1" s="26">
      <c r="A247" s="43" t="n">
        <v>50</v>
      </c>
      <c r="B247" s="44" t="n">
        <v>46349</v>
      </c>
      <c r="C247" s="43" t="n">
        <v>1</v>
      </c>
      <c r="D247" s="45" t="inlineStr">
        <is>
          <t>Human Body</t>
        </is>
      </c>
      <c r="E247" s="46" t="inlineStr">
        <is>
          <t>How many teeth does a full adult set have, including wisdom teeth?</t>
        </is>
      </c>
      <c r="F247" s="47" t="n">
        <v>32</v>
      </c>
      <c r="G247" s="45" t="inlineStr">
        <is>
          <t>teeth</t>
        </is>
      </c>
      <c r="H247" s="43" t="inlineStr">
        <is>
          <t>Easy</t>
        </is>
      </c>
      <c r="I247" s="45" t="inlineStr">
        <is>
          <t>Cleveland Clinic / NIH / Guinness World Records</t>
        </is>
      </c>
      <c r="J247" s="43" t="n"/>
      <c r="K247" s="45" t="n"/>
      <c r="L247" s="43">
        <f>COUNTIFS($A$2:$A$1501,A247,$D$2:$D$1501,D247)</f>
        <v/>
      </c>
    </row>
    <row r="248" ht="23.85" customHeight="1" s="26">
      <c r="A248" s="43" t="n">
        <v>50</v>
      </c>
      <c r="B248" s="44" t="n">
        <v>46349</v>
      </c>
      <c r="C248" s="43" t="n">
        <v>2</v>
      </c>
      <c r="D248" s="45" t="inlineStr">
        <is>
          <t>Space and Science</t>
        </is>
      </c>
      <c r="E248" s="46" t="inlineStr">
        <is>
          <t>How many Earth days long is a year on Mercury?</t>
        </is>
      </c>
      <c r="F248" s="47" t="n">
        <v>88</v>
      </c>
      <c r="G248" s="45" t="inlineStr">
        <is>
          <t>days</t>
        </is>
      </c>
      <c r="H248" s="43" t="inlineStr">
        <is>
          <t>Medium</t>
        </is>
      </c>
      <c r="I248" s="45" t="inlineStr">
        <is>
          <t>NASA</t>
        </is>
      </c>
      <c r="J248" s="43" t="n"/>
      <c r="K248" s="45" t="n"/>
      <c r="L248" s="43">
        <f>COUNTIFS($A$2:$A$1501,A248,$D$2:$D$1501,D248)</f>
        <v/>
      </c>
    </row>
    <row r="249" ht="23.85" customHeight="1" s="26">
      <c r="A249" s="43" t="n">
        <v>50</v>
      </c>
      <c r="B249" s="44" t="n">
        <v>46349</v>
      </c>
      <c r="C249" s="43" t="n">
        <v>3</v>
      </c>
      <c r="D249" s="45" t="inlineStr">
        <is>
          <t>Food and Everyday Life</t>
        </is>
      </c>
      <c r="E249" s="46" t="inlineStr">
        <is>
          <t>How tall is a standard interior door in North America?</t>
        </is>
      </c>
      <c r="F249" s="47" t="n">
        <v>203</v>
      </c>
      <c r="G249" s="45" t="inlineStr">
        <is>
          <t>cm</t>
        </is>
      </c>
      <c r="H249" s="43" t="inlineStr">
        <is>
          <t>Medium</t>
        </is>
      </c>
      <c r="I249" s="45" t="inlineStr">
        <is>
          <t>Food industry bodies / USDA / Water Footprint Network</t>
        </is>
      </c>
      <c r="J249" s="43" t="n"/>
      <c r="K249" s="45" t="n"/>
      <c r="L249" s="43">
        <f>COUNTIFS($A$2:$A$1501,A249,$D$2:$D$1501,D249)</f>
        <v/>
      </c>
    </row>
    <row r="250" ht="23.85" customHeight="1" s="26">
      <c r="A250" s="43" t="n">
        <v>50</v>
      </c>
      <c r="B250" s="44" t="n">
        <v>46349</v>
      </c>
      <c r="C250" s="43" t="n">
        <v>4</v>
      </c>
      <c r="D250" s="45" t="inlineStr">
        <is>
          <t>History</t>
        </is>
      </c>
      <c r="E250" s="46" t="inlineStr">
        <is>
          <t>How many of Magellan's crew made it back on the first voyage around the world?</t>
        </is>
      </c>
      <c r="F250" s="47" t="n">
        <v>18</v>
      </c>
      <c r="G250" s="45" t="inlineStr">
        <is>
          <t>survivors</t>
        </is>
      </c>
      <c r="H250" s="43" t="inlineStr">
        <is>
          <t>Hard</t>
        </is>
      </c>
      <c r="I250" s="45" t="inlineStr">
        <is>
          <t>Britannica / national archives</t>
        </is>
      </c>
      <c r="J250" s="43" t="n"/>
      <c r="K250" s="45" t="n"/>
      <c r="L250" s="43">
        <f>COUNTIFS($A$2:$A$1501,A250,$D$2:$D$1501,D250)</f>
        <v/>
      </c>
    </row>
    <row r="251" ht="23.85" customHeight="1" s="26">
      <c r="A251" s="43" t="n">
        <v>50</v>
      </c>
      <c r="B251" s="44" t="n">
        <v>46349</v>
      </c>
      <c r="C251" s="43" t="n">
        <v>5</v>
      </c>
      <c r="D251" s="45" t="inlineStr">
        <is>
          <t>Distance of the Day</t>
        </is>
      </c>
      <c r="E251" s="46" t="inlineStr">
        <is>
          <t>How far is it in a straight line from Nairobi to Beijing?</t>
        </is>
      </c>
      <c r="F251" s="47" t="n">
        <v>9210</v>
      </c>
      <c r="G251" s="45" t="inlineStr">
        <is>
          <t>km</t>
        </is>
      </c>
      <c r="H251" s="43" t="inlineStr">
        <is>
          <t>Hard</t>
        </is>
      </c>
      <c r="I251" s="45" t="inlineStr">
        <is>
          <t>Computed great-circle distance (city centre to city centre)</t>
        </is>
      </c>
      <c r="J251" s="43" t="n"/>
      <c r="K251" s="45" t="n"/>
      <c r="L251" s="43">
        <f>COUNTIFS($A$2:$A$1501,A251,$D$2:$D$1501,D251)</f>
        <v/>
      </c>
    </row>
    <row r="252" ht="23.85" customHeight="1" s="26">
      <c r="A252" s="35" t="n">
        <v>51</v>
      </c>
      <c r="B252" s="41" t="n">
        <v>46350</v>
      </c>
      <c r="C252" s="35" t="n">
        <v>1</v>
      </c>
      <c r="D252" s="33" t="inlineStr">
        <is>
          <t>Geography</t>
        </is>
      </c>
      <c r="E252" s="36" t="inlineStr">
        <is>
          <t>How long is the Nile River?</t>
        </is>
      </c>
      <c r="F252" s="42" t="n">
        <v>6650</v>
      </c>
      <c r="G252" s="33" t="inlineStr">
        <is>
          <t>km</t>
        </is>
      </c>
      <c r="H252" s="35" t="inlineStr">
        <is>
          <t>Medium</t>
        </is>
      </c>
      <c r="I252" s="33" t="inlineStr">
        <is>
          <t>Britannica / national survey agencies</t>
        </is>
      </c>
      <c r="J252" s="35" t="n"/>
      <c r="K252" s="33" t="n"/>
      <c r="L252" s="35">
        <f>COUNTIFS($A$2:$A$1501,A252,$D$2:$D$1501,D252)</f>
        <v/>
      </c>
    </row>
    <row r="253" ht="23.85" customHeight="1" s="26">
      <c r="A253" s="35" t="n">
        <v>51</v>
      </c>
      <c r="B253" s="41" t="n">
        <v>46350</v>
      </c>
      <c r="C253" s="35" t="n">
        <v>2</v>
      </c>
      <c r="D253" s="33" t="inlineStr">
        <is>
          <t>Buildings and Engineering</t>
        </is>
      </c>
      <c r="E253" s="36" t="inlineStr">
        <is>
          <t>How tall is the Leaning Tower of Pisa?</t>
        </is>
      </c>
      <c r="F253" s="42" t="n">
        <v>56</v>
      </c>
      <c r="G253" s="33" t="inlineStr">
        <is>
          <t>metres</t>
        </is>
      </c>
      <c r="H253" s="35" t="inlineStr">
        <is>
          <t>Medium</t>
        </is>
      </c>
      <c r="I253" s="33" t="inlineStr">
        <is>
          <t>Official operator sites / CTBUH / Britannica</t>
        </is>
      </c>
      <c r="J253" s="35" t="n"/>
      <c r="K253" s="33" t="n"/>
      <c r="L253" s="35">
        <f>COUNTIFS($A$2:$A$1501,A253,$D$2:$D$1501,D253)</f>
        <v/>
      </c>
    </row>
    <row r="254" ht="23.85" customHeight="1" s="26">
      <c r="A254" s="35" t="n">
        <v>51</v>
      </c>
      <c r="B254" s="41" t="n">
        <v>46350</v>
      </c>
      <c r="C254" s="35" t="n">
        <v>3</v>
      </c>
      <c r="D254" s="33" t="inlineStr">
        <is>
          <t>Movies, Music and Games</t>
        </is>
      </c>
      <c r="E254" s="36" t="inlineStr">
        <is>
          <t>How long is Interstellar?</t>
        </is>
      </c>
      <c r="F254" s="42" t="n">
        <v>169</v>
      </c>
      <c r="G254" s="33" t="inlineStr">
        <is>
          <t>minutes</t>
        </is>
      </c>
      <c r="H254" s="35" t="inlineStr">
        <is>
          <t>Medium</t>
        </is>
      </c>
      <c r="I254" s="33" t="inlineStr">
        <is>
          <t>IMDb</t>
        </is>
      </c>
      <c r="J254" s="35" t="n"/>
      <c r="K254" s="33" t="n"/>
      <c r="L254" s="35">
        <f>COUNTIFS($A$2:$A$1501,A254,$D$2:$D$1501,D254)</f>
        <v/>
      </c>
    </row>
    <row r="255" ht="23.85" customHeight="1" s="26">
      <c r="A255" s="35" t="n">
        <v>51</v>
      </c>
      <c r="B255" s="41" t="n">
        <v>46350</v>
      </c>
      <c r="C255" s="35" t="n">
        <v>4</v>
      </c>
      <c r="D255" s="33" t="inlineStr">
        <is>
          <t>Sports</t>
        </is>
      </c>
      <c r="E255" s="36" t="inlineStr">
        <is>
          <t>How many points did Wilt Chamberlain score in the 1961-62 NBA season?</t>
        </is>
      </c>
      <c r="F255" s="42" t="n">
        <v>4029</v>
      </c>
      <c r="G255" s="33" t="inlineStr">
        <is>
          <t>points</t>
        </is>
      </c>
      <c r="H255" s="35" t="inlineStr">
        <is>
          <t>Hard</t>
        </is>
      </c>
      <c r="I255" s="33" t="inlineStr">
        <is>
          <t>NBA.com</t>
        </is>
      </c>
      <c r="J255" s="35" t="n"/>
      <c r="K255" s="33" t="n"/>
      <c r="L255" s="35">
        <f>COUNTIFS($A$2:$A$1501,A255,$D$2:$D$1501,D255)</f>
        <v/>
      </c>
    </row>
    <row r="256" ht="23.85" customHeight="1" s="26">
      <c r="A256" s="35" t="n">
        <v>51</v>
      </c>
      <c r="B256" s="41" t="n">
        <v>46350</v>
      </c>
      <c r="C256" s="35" t="n">
        <v>5</v>
      </c>
      <c r="D256" s="33" t="inlineStr">
        <is>
          <t>Distance of the Day</t>
        </is>
      </c>
      <c r="E256" s="36" t="inlineStr">
        <is>
          <t>How far is it in a straight line from Toronto to Mexico City?</t>
        </is>
      </c>
      <c r="F256" s="42" t="n">
        <v>3260</v>
      </c>
      <c r="G256" s="33" t="inlineStr">
        <is>
          <t>km</t>
        </is>
      </c>
      <c r="H256" s="35" t="inlineStr">
        <is>
          <t>Medium</t>
        </is>
      </c>
      <c r="I256" s="33" t="inlineStr">
        <is>
          <t>Computed great-circle distance (city centre to city centre)</t>
        </is>
      </c>
      <c r="J256" s="35" t="n"/>
      <c r="K256" s="33" t="n"/>
      <c r="L256" s="35">
        <f>COUNTIFS($A$2:$A$1501,A256,$D$2:$D$1501,D256)</f>
        <v/>
      </c>
    </row>
    <row r="257" ht="23.85" customHeight="1" s="26">
      <c r="A257" s="43" t="n">
        <v>52</v>
      </c>
      <c r="B257" s="44" t="n">
        <v>46351</v>
      </c>
      <c r="C257" s="43" t="n">
        <v>1</v>
      </c>
      <c r="D257" s="45" t="inlineStr">
        <is>
          <t>Space and Science</t>
        </is>
      </c>
      <c r="E257" s="46" t="inlineStr">
        <is>
          <t>How fast does the International Space Station travel?</t>
        </is>
      </c>
      <c r="F257" s="47" t="n">
        <v>28000</v>
      </c>
      <c r="G257" s="45" t="inlineStr">
        <is>
          <t>km/h</t>
        </is>
      </c>
      <c r="H257" s="43" t="inlineStr">
        <is>
          <t>Medium</t>
        </is>
      </c>
      <c r="I257" s="45" t="inlineStr">
        <is>
          <t>NASA</t>
        </is>
      </c>
      <c r="J257" s="43" t="n"/>
      <c r="K257" s="45" t="n"/>
      <c r="L257" s="43">
        <f>COUNTIFS($A$2:$A$1501,A257,$D$2:$D$1501,D257)</f>
        <v/>
      </c>
    </row>
    <row r="258" ht="23.85" customHeight="1" s="26">
      <c r="A258" s="43" t="n">
        <v>52</v>
      </c>
      <c r="B258" s="44" t="n">
        <v>46351</v>
      </c>
      <c r="C258" s="43" t="n">
        <v>2</v>
      </c>
      <c r="D258" s="45" t="inlineStr">
        <is>
          <t>Animals and Nature</t>
        </is>
      </c>
      <c r="E258" s="46" t="inlineStr">
        <is>
          <t>How long can a blue whale grow?</t>
        </is>
      </c>
      <c r="F258" s="47" t="n">
        <v>30</v>
      </c>
      <c r="G258" s="45" t="inlineStr">
        <is>
          <t>metres</t>
        </is>
      </c>
      <c r="H258" s="43" t="inlineStr">
        <is>
          <t>Medium</t>
        </is>
      </c>
      <c r="I258" s="45" t="inlineStr">
        <is>
          <t>NOAA</t>
        </is>
      </c>
      <c r="J258" s="43" t="n"/>
      <c r="K258" s="45" t="n"/>
      <c r="L258" s="43">
        <f>COUNTIFS($A$2:$A$1501,A258,$D$2:$D$1501,D258)</f>
        <v/>
      </c>
    </row>
    <row r="259" ht="23.85" customHeight="1" s="26">
      <c r="A259" s="43" t="n">
        <v>52</v>
      </c>
      <c r="B259" s="44" t="n">
        <v>46351</v>
      </c>
      <c r="C259" s="43" t="n">
        <v>3</v>
      </c>
      <c r="D259" s="45" t="inlineStr">
        <is>
          <t>Canada</t>
        </is>
      </c>
      <c r="E259" s="46" t="inlineStr">
        <is>
          <t>How tall is Mount Logan, Canada's highest mountain?</t>
        </is>
      </c>
      <c r="F259" s="47" t="n">
        <v>5959</v>
      </c>
      <c r="G259" s="45" t="inlineStr">
        <is>
          <t>metres</t>
        </is>
      </c>
      <c r="H259" s="43" t="inlineStr">
        <is>
          <t>Medium</t>
        </is>
      </c>
      <c r="I259" s="45" t="inlineStr">
        <is>
          <t>Natural Resources Canada</t>
        </is>
      </c>
      <c r="J259" s="43" t="n"/>
      <c r="K259" s="45" t="n"/>
      <c r="L259" s="43">
        <f>COUNTIFS($A$2:$A$1501,A259,$D$2:$D$1501,D259)</f>
        <v/>
      </c>
    </row>
    <row r="260" ht="23.85" customHeight="1" s="26">
      <c r="A260" s="43" t="n">
        <v>52</v>
      </c>
      <c r="B260" s="44" t="n">
        <v>46351</v>
      </c>
      <c r="C260" s="43" t="n">
        <v>4</v>
      </c>
      <c r="D260" s="45" t="inlineStr">
        <is>
          <t>History</t>
        </is>
      </c>
      <c r="E260" s="46" t="inlineStr">
        <is>
          <t>How many years was Marco Polo away from Venice on his travels?</t>
        </is>
      </c>
      <c r="F260" s="47" t="n">
        <v>24</v>
      </c>
      <c r="G260" s="45" t="inlineStr">
        <is>
          <t>years</t>
        </is>
      </c>
      <c r="H260" s="43" t="inlineStr">
        <is>
          <t>Hard</t>
        </is>
      </c>
      <c r="I260" s="45" t="inlineStr">
        <is>
          <t>Britannica / national archives</t>
        </is>
      </c>
      <c r="J260" s="43" t="n"/>
      <c r="K260" s="45" t="n"/>
      <c r="L260" s="43">
        <f>COUNTIFS($A$2:$A$1501,A260,$D$2:$D$1501,D260)</f>
        <v/>
      </c>
    </row>
    <row r="261" ht="23.85" customHeight="1" s="26">
      <c r="A261" s="43" t="n">
        <v>52</v>
      </c>
      <c r="B261" s="44" t="n">
        <v>46351</v>
      </c>
      <c r="C261" s="43" t="n">
        <v>5</v>
      </c>
      <c r="D261" s="45" t="inlineStr">
        <is>
          <t>Distance of the Day</t>
        </is>
      </c>
      <c r="E261" s="46" t="inlineStr">
        <is>
          <t>How far is it in a straight line from Mecca to Sydney?</t>
        </is>
      </c>
      <c r="F261" s="47" t="n">
        <v>13230</v>
      </c>
      <c r="G261" s="45" t="inlineStr">
        <is>
          <t>km</t>
        </is>
      </c>
      <c r="H261" s="43" t="inlineStr">
        <is>
          <t>Hard</t>
        </is>
      </c>
      <c r="I261" s="45" t="inlineStr">
        <is>
          <t>Computed great-circle distance (city centre to city centre)</t>
        </is>
      </c>
      <c r="J261" s="43" t="n"/>
      <c r="K261" s="45" t="n"/>
      <c r="L261" s="43">
        <f>COUNTIFS($A$2:$A$1501,A261,$D$2:$D$1501,D261)</f>
        <v/>
      </c>
    </row>
    <row r="262" ht="23.85" customHeight="1" s="26">
      <c r="A262" s="35" t="n">
        <v>53</v>
      </c>
      <c r="B262" s="41" t="n">
        <v>46352</v>
      </c>
      <c r="C262" s="35" t="n">
        <v>1</v>
      </c>
      <c r="D262" s="33" t="inlineStr">
        <is>
          <t>Sports</t>
        </is>
      </c>
      <c r="E262" s="36" t="inlineStr">
        <is>
          <t>How long is a marathon?</t>
        </is>
      </c>
      <c r="F262" s="42" t="n">
        <v>42.195</v>
      </c>
      <c r="G262" s="33" t="inlineStr">
        <is>
          <t>km</t>
        </is>
      </c>
      <c r="H262" s="35" t="inlineStr">
        <is>
          <t>Easy</t>
        </is>
      </c>
      <c r="I262" s="33" t="inlineStr">
        <is>
          <t>World Athletics</t>
        </is>
      </c>
      <c r="J262" s="35" t="n"/>
      <c r="K262" s="33" t="n"/>
      <c r="L262" s="35">
        <f>COUNTIFS($A$2:$A$1501,A262,$D$2:$D$1501,D262)</f>
        <v/>
      </c>
    </row>
    <row r="263" ht="23.85" customHeight="1" s="26">
      <c r="A263" s="35" t="n">
        <v>53</v>
      </c>
      <c r="B263" s="41" t="n">
        <v>46352</v>
      </c>
      <c r="C263" s="35" t="n">
        <v>2</v>
      </c>
      <c r="D263" s="33" t="inlineStr">
        <is>
          <t>Geography</t>
        </is>
      </c>
      <c r="E263" s="36" t="inlineStr">
        <is>
          <t>How tall is Mount Kilimanjaro?</t>
        </is>
      </c>
      <c r="F263" s="42" t="n">
        <v>5895</v>
      </c>
      <c r="G263" s="33" t="inlineStr">
        <is>
          <t>metres</t>
        </is>
      </c>
      <c r="H263" s="35" t="inlineStr">
        <is>
          <t>Medium</t>
        </is>
      </c>
      <c r="I263" s="33" t="inlineStr">
        <is>
          <t>Britannica / national survey agencies</t>
        </is>
      </c>
      <c r="J263" s="35" t="n"/>
      <c r="K263" s="33" t="n"/>
      <c r="L263" s="35">
        <f>COUNTIFS($A$2:$A$1501,A263,$D$2:$D$1501,D263)</f>
        <v/>
      </c>
    </row>
    <row r="264" ht="23.85" customHeight="1" s="26">
      <c r="A264" s="35" t="n">
        <v>53</v>
      </c>
      <c r="B264" s="41" t="n">
        <v>46352</v>
      </c>
      <c r="C264" s="35" t="n">
        <v>3</v>
      </c>
      <c r="D264" s="33" t="inlineStr">
        <is>
          <t>Buildings and Engineering</t>
        </is>
      </c>
      <c r="E264" s="36" t="inlineStr">
        <is>
          <t>How fast could the Concorde fly?</t>
        </is>
      </c>
      <c r="F264" s="42" t="n">
        <v>2180</v>
      </c>
      <c r="G264" s="33" t="inlineStr">
        <is>
          <t>km/h</t>
        </is>
      </c>
      <c r="H264" s="35" t="inlineStr">
        <is>
          <t>Medium</t>
        </is>
      </c>
      <c r="I264" s="33" t="inlineStr">
        <is>
          <t>Official operator sites / CTBUH / Britannica</t>
        </is>
      </c>
      <c r="J264" s="35" t="n"/>
      <c r="K264" s="33" t="n"/>
      <c r="L264" s="35">
        <f>COUNTIFS($A$2:$A$1501,A264,$D$2:$D$1501,D264)</f>
        <v/>
      </c>
    </row>
    <row r="265" ht="23.85" customHeight="1" s="26">
      <c r="A265" s="35" t="n">
        <v>53</v>
      </c>
      <c r="B265" s="41" t="n">
        <v>46352</v>
      </c>
      <c r="C265" s="35" t="n">
        <v>4</v>
      </c>
      <c r="D265" s="33" t="inlineStr">
        <is>
          <t>Movies, Music and Games</t>
        </is>
      </c>
      <c r="E265" s="36" t="inlineStr">
        <is>
          <t>How many shows did Taylor Swift play on the Eras Tour?</t>
        </is>
      </c>
      <c r="F265" s="42" t="n">
        <v>149</v>
      </c>
      <c r="G265" s="33" t="inlineStr">
        <is>
          <t>shows</t>
        </is>
      </c>
      <c r="H265" s="35" t="inlineStr">
        <is>
          <t>Medium</t>
        </is>
      </c>
      <c r="I265" s="33" t="inlineStr">
        <is>
          <t>IMDb / official records / Guinness World Records</t>
        </is>
      </c>
      <c r="J265" s="35" t="n"/>
      <c r="K265" s="33" t="n"/>
      <c r="L265" s="35">
        <f>COUNTIFS($A$2:$A$1501,A265,$D$2:$D$1501,D265)</f>
        <v/>
      </c>
    </row>
    <row r="266" ht="23.85" customHeight="1" s="26">
      <c r="A266" s="35" t="n">
        <v>53</v>
      </c>
      <c r="B266" s="41" t="n">
        <v>46352</v>
      </c>
      <c r="C266" s="35" t="n">
        <v>5</v>
      </c>
      <c r="D266" s="33" t="inlineStr">
        <is>
          <t>Distance of the Day</t>
        </is>
      </c>
      <c r="E266" s="36" t="inlineStr">
        <is>
          <t>How far is it in a straight line from Calgary to Istanbul?</t>
        </is>
      </c>
      <c r="F266" s="42" t="n">
        <v>9170</v>
      </c>
      <c r="G266" s="33" t="inlineStr">
        <is>
          <t>km</t>
        </is>
      </c>
      <c r="H266" s="35" t="inlineStr">
        <is>
          <t>Hard</t>
        </is>
      </c>
      <c r="I266" s="33" t="inlineStr">
        <is>
          <t>Computed great-circle distance (city centre to city centre)</t>
        </is>
      </c>
      <c r="J266" s="35" t="n"/>
      <c r="K266" s="33" t="n"/>
      <c r="L266" s="35">
        <f>COUNTIFS($A$2:$A$1501,A266,$D$2:$D$1501,D266)</f>
        <v/>
      </c>
    </row>
    <row r="267" ht="23.85" customHeight="1" s="26">
      <c r="A267" s="43" t="n">
        <v>54</v>
      </c>
      <c r="B267" s="44" t="n">
        <v>46353</v>
      </c>
      <c r="C267" s="43" t="n">
        <v>1</v>
      </c>
      <c r="D267" s="45" t="inlineStr">
        <is>
          <t>Space and Science</t>
        </is>
      </c>
      <c r="E267" s="46" t="inlineStr">
        <is>
          <t>How many Earth days long is a year on Mars?</t>
        </is>
      </c>
      <c r="F267" s="47" t="n">
        <v>687</v>
      </c>
      <c r="G267" s="45" t="inlineStr">
        <is>
          <t>days</t>
        </is>
      </c>
      <c r="H267" s="43" t="inlineStr">
        <is>
          <t>Medium</t>
        </is>
      </c>
      <c r="I267" s="45" t="inlineStr">
        <is>
          <t>NASA</t>
        </is>
      </c>
      <c r="J267" s="43" t="n"/>
      <c r="K267" s="45" t="n"/>
      <c r="L267" s="43">
        <f>COUNTIFS($A$2:$A$1501,A267,$D$2:$D$1501,D267)</f>
        <v/>
      </c>
    </row>
    <row r="268" ht="23.85" customHeight="1" s="26">
      <c r="A268" s="43" t="n">
        <v>54</v>
      </c>
      <c r="B268" s="44" t="n">
        <v>46353</v>
      </c>
      <c r="C268" s="43" t="n">
        <v>2</v>
      </c>
      <c r="D268" s="45" t="inlineStr">
        <is>
          <t>Human Body</t>
        </is>
      </c>
      <c r="E268" s="46" t="inlineStr">
        <is>
          <t>How many days does a red blood cell live?</t>
        </is>
      </c>
      <c r="F268" s="47" t="n">
        <v>120</v>
      </c>
      <c r="G268" s="45" t="inlineStr">
        <is>
          <t>days</t>
        </is>
      </c>
      <c r="H268" s="43" t="inlineStr">
        <is>
          <t>Medium</t>
        </is>
      </c>
      <c r="I268" s="45" t="inlineStr">
        <is>
          <t>Cleveland Clinic / NIH / Guinness World Records</t>
        </is>
      </c>
      <c r="J268" s="43" t="n"/>
      <c r="K268" s="45" t="n"/>
      <c r="L268" s="43">
        <f>COUNTIFS($A$2:$A$1501,A268,$D$2:$D$1501,D268)</f>
        <v/>
      </c>
    </row>
    <row r="269" ht="23.85" customHeight="1" s="26">
      <c r="A269" s="43" t="n">
        <v>54</v>
      </c>
      <c r="B269" s="44" t="n">
        <v>46353</v>
      </c>
      <c r="C269" s="43" t="n">
        <v>3</v>
      </c>
      <c r="D269" s="45" t="inlineStr">
        <is>
          <t>Canada</t>
        </is>
      </c>
      <c r="E269" s="46" t="inlineStr">
        <is>
          <t>How big is Hudson Bay?</t>
        </is>
      </c>
      <c r="F269" s="47" t="n">
        <v>1230000</v>
      </c>
      <c r="G269" s="45" t="inlineStr">
        <is>
          <t>km²</t>
        </is>
      </c>
      <c r="H269" s="43" t="inlineStr">
        <is>
          <t>Hard</t>
        </is>
      </c>
      <c r="I269" s="45" t="inlineStr">
        <is>
          <t>Natural Resources Canada / Statistics Canada / Parks Canada</t>
        </is>
      </c>
      <c r="J269" s="43" t="n"/>
      <c r="K269" s="45" t="n"/>
      <c r="L269" s="43">
        <f>COUNTIFS($A$2:$A$1501,A269,$D$2:$D$1501,D269)</f>
        <v/>
      </c>
    </row>
    <row r="270" ht="23.85" customHeight="1" s="26">
      <c r="A270" s="43" t="n">
        <v>54</v>
      </c>
      <c r="B270" s="44" t="n">
        <v>46353</v>
      </c>
      <c r="C270" s="43" t="n">
        <v>4</v>
      </c>
      <c r="D270" s="45" t="inlineStr">
        <is>
          <t>Animals and Nature</t>
        </is>
      </c>
      <c r="E270" s="46" t="inlineStr">
        <is>
          <t>How many flowers do bees need to visit to make 1 pound of honey?</t>
        </is>
      </c>
      <c r="F270" s="47" t="n">
        <v>2000000</v>
      </c>
      <c r="G270" s="45" t="inlineStr">
        <is>
          <t>flowers</t>
        </is>
      </c>
      <c r="H270" s="43" t="inlineStr">
        <is>
          <t>Hard</t>
        </is>
      </c>
      <c r="I270" s="45" t="inlineStr">
        <is>
          <t>National Honey Board</t>
        </is>
      </c>
      <c r="J270" s="43" t="n"/>
      <c r="K270" s="45" t="n"/>
      <c r="L270" s="43">
        <f>COUNTIFS($A$2:$A$1501,A270,$D$2:$D$1501,D270)</f>
        <v/>
      </c>
    </row>
    <row r="271" ht="23.85" customHeight="1" s="26">
      <c r="A271" s="43" t="n">
        <v>54</v>
      </c>
      <c r="B271" s="44" t="n">
        <v>46353</v>
      </c>
      <c r="C271" s="43" t="n">
        <v>5</v>
      </c>
      <c r="D271" s="45" t="inlineStr">
        <is>
          <t>Distance of the Day</t>
        </is>
      </c>
      <c r="E271" s="46" t="inlineStr">
        <is>
          <t>How far is it in a straight line from Miami to Sydney?</t>
        </is>
      </c>
      <c r="F271" s="47" t="n">
        <v>15030</v>
      </c>
      <c r="G271" s="45" t="inlineStr">
        <is>
          <t>km</t>
        </is>
      </c>
      <c r="H271" s="43" t="inlineStr">
        <is>
          <t>Hard</t>
        </is>
      </c>
      <c r="I271" s="45" t="inlineStr">
        <is>
          <t>Computed great-circle distance (city centre to city centre)</t>
        </is>
      </c>
      <c r="J271" s="43" t="n"/>
      <c r="K271" s="45" t="n"/>
      <c r="L271" s="43">
        <f>COUNTIFS($A$2:$A$1501,A271,$D$2:$D$1501,D271)</f>
        <v/>
      </c>
    </row>
    <row r="272" ht="23.85" customHeight="1" s="26">
      <c r="A272" s="35" t="n">
        <v>55</v>
      </c>
      <c r="B272" s="41" t="n">
        <v>46354</v>
      </c>
      <c r="C272" s="35" t="n">
        <v>1</v>
      </c>
      <c r="D272" s="33" t="inlineStr">
        <is>
          <t>Geography</t>
        </is>
      </c>
      <c r="E272" s="36" t="inlineStr">
        <is>
          <t>How many time zones does Russia span?</t>
        </is>
      </c>
      <c r="F272" s="42" t="n">
        <v>11</v>
      </c>
      <c r="G272" s="33" t="inlineStr">
        <is>
          <t>time zones</t>
        </is>
      </c>
      <c r="H272" s="35" t="inlineStr">
        <is>
          <t>Medium</t>
        </is>
      </c>
      <c r="I272" s="33" t="inlineStr">
        <is>
          <t>Britannica / national survey agencies</t>
        </is>
      </c>
      <c r="J272" s="35" t="n"/>
      <c r="K272" s="33" t="n"/>
      <c r="L272" s="35">
        <f>COUNTIFS($A$2:$A$1501,A272,$D$2:$D$1501,D272)</f>
        <v/>
      </c>
    </row>
    <row r="273" ht="23.85" customHeight="1" s="26">
      <c r="A273" s="35" t="n">
        <v>55</v>
      </c>
      <c r="B273" s="41" t="n">
        <v>46354</v>
      </c>
      <c r="C273" s="35" t="n">
        <v>2</v>
      </c>
      <c r="D273" s="33" t="inlineStr">
        <is>
          <t>Movies, Music and Games</t>
        </is>
      </c>
      <c r="E273" s="36" t="inlineStr">
        <is>
          <t>How long is Forrest Gump?</t>
        </is>
      </c>
      <c r="F273" s="42" t="n">
        <v>142</v>
      </c>
      <c r="G273" s="33" t="inlineStr">
        <is>
          <t>minutes</t>
        </is>
      </c>
      <c r="H273" s="35" t="inlineStr">
        <is>
          <t>Medium</t>
        </is>
      </c>
      <c r="I273" s="33" t="inlineStr">
        <is>
          <t>IMDb</t>
        </is>
      </c>
      <c r="J273" s="35" t="n"/>
      <c r="K273" s="33" t="n"/>
      <c r="L273" s="35">
        <f>COUNTIFS($A$2:$A$1501,A273,$D$2:$D$1501,D273)</f>
        <v/>
      </c>
    </row>
    <row r="274" ht="23.85" customHeight="1" s="26">
      <c r="A274" s="35" t="n">
        <v>55</v>
      </c>
      <c r="B274" s="41" t="n">
        <v>46354</v>
      </c>
      <c r="C274" s="35" t="n">
        <v>3</v>
      </c>
      <c r="D274" s="33" t="inlineStr">
        <is>
          <t>Buildings and Engineering</t>
        </is>
      </c>
      <c r="E274" s="36" t="inlineStr">
        <is>
          <t>How many windows does the Empire State Building have?</t>
        </is>
      </c>
      <c r="F274" s="42" t="n">
        <v>6514</v>
      </c>
      <c r="G274" s="33" t="inlineStr">
        <is>
          <t>windows</t>
        </is>
      </c>
      <c r="H274" s="35" t="inlineStr">
        <is>
          <t>Hard</t>
        </is>
      </c>
      <c r="I274" s="33" t="inlineStr">
        <is>
          <t>Empire State Building</t>
        </is>
      </c>
      <c r="J274" s="35" t="n"/>
      <c r="K274" s="33" t="n"/>
      <c r="L274" s="35">
        <f>COUNTIFS($A$2:$A$1501,A274,$D$2:$D$1501,D274)</f>
        <v/>
      </c>
    </row>
    <row r="275" ht="23.85" customHeight="1" s="26">
      <c r="A275" s="35" t="n">
        <v>55</v>
      </c>
      <c r="B275" s="41" t="n">
        <v>46354</v>
      </c>
      <c r="C275" s="35" t="n">
        <v>4</v>
      </c>
      <c r="D275" s="33" t="inlineStr">
        <is>
          <t>Sports</t>
        </is>
      </c>
      <c r="E275" s="36" t="inlineStr">
        <is>
          <t>How many career hits did Pete Rose collect?</t>
        </is>
      </c>
      <c r="F275" s="42" t="n">
        <v>4256</v>
      </c>
      <c r="G275" s="33" t="inlineStr">
        <is>
          <t>hits</t>
        </is>
      </c>
      <c r="H275" s="35" t="inlineStr">
        <is>
          <t>Hard</t>
        </is>
      </c>
      <c r="I275" s="33" t="inlineStr">
        <is>
          <t>MLB.com</t>
        </is>
      </c>
      <c r="J275" s="35" t="n"/>
      <c r="K275" s="33" t="n"/>
      <c r="L275" s="35">
        <f>COUNTIFS($A$2:$A$1501,A275,$D$2:$D$1501,D275)</f>
        <v/>
      </c>
    </row>
    <row r="276" ht="23.85" customHeight="1" s="26">
      <c r="A276" s="35" t="n">
        <v>55</v>
      </c>
      <c r="B276" s="41" t="n">
        <v>46354</v>
      </c>
      <c r="C276" s="35" t="n">
        <v>5</v>
      </c>
      <c r="D276" s="33" t="inlineStr">
        <is>
          <t>Distance of the Day</t>
        </is>
      </c>
      <c r="E276" s="36" t="inlineStr">
        <is>
          <t>How far is it in a straight line from Ottawa to New York?</t>
        </is>
      </c>
      <c r="F276" s="42" t="n">
        <v>540</v>
      </c>
      <c r="G276" s="33" t="inlineStr">
        <is>
          <t>km</t>
        </is>
      </c>
      <c r="H276" s="35" t="inlineStr">
        <is>
          <t>Easy</t>
        </is>
      </c>
      <c r="I276" s="33" t="inlineStr">
        <is>
          <t>Computed great-circle distance (city centre to city centre)</t>
        </is>
      </c>
      <c r="J276" s="35" t="n"/>
      <c r="K276" s="33" t="n"/>
      <c r="L276" s="35">
        <f>COUNTIFS($A$2:$A$1501,A276,$D$2:$D$1501,D276)</f>
        <v/>
      </c>
    </row>
    <row r="277" ht="23.85" customHeight="1" s="26">
      <c r="A277" s="43" t="n">
        <v>56</v>
      </c>
      <c r="B277" s="44" t="n">
        <v>46355</v>
      </c>
      <c r="C277" s="43" t="n">
        <v>1</v>
      </c>
      <c r="D277" s="45" t="inlineStr">
        <is>
          <t>Space and Science</t>
        </is>
      </c>
      <c r="E277" s="46" t="inlineStr">
        <is>
          <t>How fast does sound travel through air at 20°C?</t>
        </is>
      </c>
      <c r="F277" s="47" t="n">
        <v>343</v>
      </c>
      <c r="G277" s="45" t="inlineStr">
        <is>
          <t>metres per second</t>
        </is>
      </c>
      <c r="H277" s="43" t="inlineStr">
        <is>
          <t>Medium</t>
        </is>
      </c>
      <c r="I277" s="45" t="inlineStr">
        <is>
          <t>NASA / IAU / CRC Handbook</t>
        </is>
      </c>
      <c r="J277" s="43" t="n"/>
      <c r="K277" s="45" t="n"/>
      <c r="L277" s="43">
        <f>COUNTIFS($A$2:$A$1501,A277,$D$2:$D$1501,D277)</f>
        <v/>
      </c>
    </row>
    <row r="278" ht="23.85" customHeight="1" s="26">
      <c r="A278" s="43" t="n">
        <v>56</v>
      </c>
      <c r="B278" s="44" t="n">
        <v>46355</v>
      </c>
      <c r="C278" s="43" t="n">
        <v>2</v>
      </c>
      <c r="D278" s="45" t="inlineStr">
        <is>
          <t>Food and Everyday Life</t>
        </is>
      </c>
      <c r="E278" s="46" t="inlineStr">
        <is>
          <t>How many litres of water does a 10-minute shower use, with a standard showerhead?</t>
        </is>
      </c>
      <c r="F278" s="47" t="n">
        <v>95</v>
      </c>
      <c r="G278" s="45" t="inlineStr">
        <is>
          <t>litres</t>
        </is>
      </c>
      <c r="H278" s="43" t="inlineStr">
        <is>
          <t>Hard</t>
        </is>
      </c>
      <c r="I278" s="45" t="inlineStr">
        <is>
          <t>Food industry bodies / USDA / Water Footprint Network</t>
        </is>
      </c>
      <c r="J278" s="43" t="n"/>
      <c r="K278" s="45" t="n"/>
      <c r="L278" s="43">
        <f>COUNTIFS($A$2:$A$1501,A278,$D$2:$D$1501,D278)</f>
        <v/>
      </c>
    </row>
    <row r="279" ht="23.85" customHeight="1" s="26">
      <c r="A279" s="43" t="n">
        <v>56</v>
      </c>
      <c r="B279" s="44" t="n">
        <v>46355</v>
      </c>
      <c r="C279" s="43" t="n">
        <v>3</v>
      </c>
      <c r="D279" s="45" t="inlineStr">
        <is>
          <t>Animals and Nature</t>
        </is>
      </c>
      <c r="E279" s="46" t="inlineStr">
        <is>
          <t>How many scent receptors does a dog's nose have?</t>
        </is>
      </c>
      <c r="F279" s="47" t="n">
        <v>300000000</v>
      </c>
      <c r="G279" s="45" t="inlineStr">
        <is>
          <t>receptors</t>
        </is>
      </c>
      <c r="H279" s="43" t="inlineStr">
        <is>
          <t>Hard</t>
        </is>
      </c>
      <c r="I279" s="45" t="inlineStr">
        <is>
          <t>Britannica / National Geographic / Guinness World Records</t>
        </is>
      </c>
      <c r="J279" s="43" t="n"/>
      <c r="K279" s="45" t="n"/>
      <c r="L279" s="43">
        <f>COUNTIFS($A$2:$A$1501,A279,$D$2:$D$1501,D279)</f>
        <v/>
      </c>
    </row>
    <row r="280" ht="23.85" customHeight="1" s="26">
      <c r="A280" s="43" t="n">
        <v>56</v>
      </c>
      <c r="B280" s="44" t="n">
        <v>46355</v>
      </c>
      <c r="C280" s="43" t="n">
        <v>4</v>
      </c>
      <c r="D280" s="45" t="inlineStr">
        <is>
          <t>History</t>
        </is>
      </c>
      <c r="E280" s="46" t="inlineStr">
        <is>
          <t>How many days were in Napoleon's 'Hundred Days' return to power?</t>
        </is>
      </c>
      <c r="F280" s="47" t="n">
        <v>111</v>
      </c>
      <c r="G280" s="45" t="inlineStr">
        <is>
          <t>days</t>
        </is>
      </c>
      <c r="H280" s="43" t="inlineStr">
        <is>
          <t>Hard</t>
        </is>
      </c>
      <c r="I280" s="45" t="inlineStr">
        <is>
          <t>Britannica / national archives</t>
        </is>
      </c>
      <c r="J280" s="43" t="n"/>
      <c r="K280" s="45" t="n"/>
      <c r="L280" s="43">
        <f>COUNTIFS($A$2:$A$1501,A280,$D$2:$D$1501,D280)</f>
        <v/>
      </c>
    </row>
    <row r="281" ht="23.85" customHeight="1" s="26">
      <c r="A281" s="43" t="n">
        <v>56</v>
      </c>
      <c r="B281" s="44" t="n">
        <v>46355</v>
      </c>
      <c r="C281" s="43" t="n">
        <v>5</v>
      </c>
      <c r="D281" s="45" t="inlineStr">
        <is>
          <t>Distance of the Day</t>
        </is>
      </c>
      <c r="E281" s="46" t="inlineStr">
        <is>
          <t>How far is it in a straight line from Miami to Mecca?</t>
        </is>
      </c>
      <c r="F281" s="47" t="n">
        <v>11690</v>
      </c>
      <c r="G281" s="45" t="inlineStr">
        <is>
          <t>km</t>
        </is>
      </c>
      <c r="H281" s="43" t="inlineStr">
        <is>
          <t>Hard</t>
        </is>
      </c>
      <c r="I281" s="45" t="inlineStr">
        <is>
          <t>Computed great-circle distance (city centre to city centre)</t>
        </is>
      </c>
      <c r="J281" s="43" t="n"/>
      <c r="K281" s="45" t="n"/>
      <c r="L281" s="43">
        <f>COUNTIFS($A$2:$A$1501,A281,$D$2:$D$1501,D281)</f>
        <v/>
      </c>
    </row>
    <row r="282" ht="23.85" customHeight="1" s="26">
      <c r="A282" s="35" t="n">
        <v>57</v>
      </c>
      <c r="B282" s="41" t="n">
        <v>46356</v>
      </c>
      <c r="C282" s="35" t="n">
        <v>1</v>
      </c>
      <c r="D282" s="33" t="inlineStr">
        <is>
          <t>Movies, Music and Games</t>
        </is>
      </c>
      <c r="E282" s="36" t="inlineStr">
        <is>
          <t>How many keys are on a standard full-size computer keyboard?</t>
        </is>
      </c>
      <c r="F282" s="42" t="n">
        <v>104</v>
      </c>
      <c r="G282" s="33" t="inlineStr">
        <is>
          <t>keys</t>
        </is>
      </c>
      <c r="H282" s="35" t="inlineStr">
        <is>
          <t>Medium</t>
        </is>
      </c>
      <c r="I282" s="33" t="inlineStr">
        <is>
          <t>IMDb / official records / Guinness World Records</t>
        </is>
      </c>
      <c r="J282" s="35" t="n"/>
      <c r="K282" s="33" t="n"/>
      <c r="L282" s="35">
        <f>COUNTIFS($A$2:$A$1501,A282,$D$2:$D$1501,D282)</f>
        <v/>
      </c>
    </row>
    <row r="283" ht="23.85" customHeight="1" s="26">
      <c r="A283" s="35" t="n">
        <v>57</v>
      </c>
      <c r="B283" s="41" t="n">
        <v>46356</v>
      </c>
      <c r="C283" s="35" t="n">
        <v>2</v>
      </c>
      <c r="D283" s="33" t="inlineStr">
        <is>
          <t>Geography</t>
        </is>
      </c>
      <c r="E283" s="36" t="inlineStr">
        <is>
          <t>How tall is Mount Elbrus, the highest mountain in Europe?</t>
        </is>
      </c>
      <c r="F283" s="42" t="n">
        <v>5642</v>
      </c>
      <c r="G283" s="33" t="inlineStr">
        <is>
          <t>metres</t>
        </is>
      </c>
      <c r="H283" s="35" t="inlineStr">
        <is>
          <t>Hard</t>
        </is>
      </c>
      <c r="I283" s="33" t="inlineStr">
        <is>
          <t>Britannica / national survey agencies</t>
        </is>
      </c>
      <c r="J283" s="35" t="n"/>
      <c r="K283" s="33" t="n"/>
      <c r="L283" s="35">
        <f>COUNTIFS($A$2:$A$1501,A283,$D$2:$D$1501,D283)</f>
        <v/>
      </c>
    </row>
    <row r="284" ht="23.85" customHeight="1" s="26">
      <c r="A284" s="35" t="n">
        <v>57</v>
      </c>
      <c r="B284" s="41" t="n">
        <v>46356</v>
      </c>
      <c r="C284" s="35" t="n">
        <v>3</v>
      </c>
      <c r="D284" s="33" t="inlineStr">
        <is>
          <t>Buildings and Engineering</t>
        </is>
      </c>
      <c r="E284" s="36" t="inlineStr">
        <is>
          <t>How long are all the corridors in the Pentagon combined?</t>
        </is>
      </c>
      <c r="F284" s="42" t="n">
        <v>28</v>
      </c>
      <c r="G284" s="33" t="inlineStr">
        <is>
          <t>km</t>
        </is>
      </c>
      <c r="H284" s="35" t="inlineStr">
        <is>
          <t>Hard</t>
        </is>
      </c>
      <c r="I284" s="33" t="inlineStr">
        <is>
          <t>US Department of Defense</t>
        </is>
      </c>
      <c r="J284" s="35" t="n"/>
      <c r="K284" s="33" t="n"/>
      <c r="L284" s="35">
        <f>COUNTIFS($A$2:$A$1501,A284,$D$2:$D$1501,D284)</f>
        <v/>
      </c>
    </row>
    <row r="285" ht="23.85" customHeight="1" s="26">
      <c r="A285" s="35" t="n">
        <v>57</v>
      </c>
      <c r="B285" s="41" t="n">
        <v>46356</v>
      </c>
      <c r="C285" s="35" t="n">
        <v>4</v>
      </c>
      <c r="D285" s="33" t="inlineStr">
        <is>
          <t>Sports</t>
        </is>
      </c>
      <c r="E285" s="36" t="inlineStr">
        <is>
          <t>How long was the first Tour de France in 1903?</t>
        </is>
      </c>
      <c r="F285" s="42" t="n">
        <v>2428</v>
      </c>
      <c r="G285" s="33" t="inlineStr">
        <is>
          <t>km</t>
        </is>
      </c>
      <c r="H285" s="35" t="inlineStr">
        <is>
          <t>Hard</t>
        </is>
      </c>
      <c r="I285" s="33" t="inlineStr">
        <is>
          <t>Tour de France</t>
        </is>
      </c>
      <c r="J285" s="35" t="n"/>
      <c r="K285" s="33" t="n"/>
      <c r="L285" s="35">
        <f>COUNTIFS($A$2:$A$1501,A285,$D$2:$D$1501,D285)</f>
        <v/>
      </c>
    </row>
    <row r="286" ht="23.85" customHeight="1" s="26">
      <c r="A286" s="35" t="n">
        <v>57</v>
      </c>
      <c r="B286" s="41" t="n">
        <v>46356</v>
      </c>
      <c r="C286" s="35" t="n">
        <v>5</v>
      </c>
      <c r="D286" s="33" t="inlineStr">
        <is>
          <t>Distance of the Day</t>
        </is>
      </c>
      <c r="E286" s="36" t="inlineStr">
        <is>
          <t>How far is it in a straight line from Toronto to Nairobi?</t>
        </is>
      </c>
      <c r="F286" s="42" t="n">
        <v>12180</v>
      </c>
      <c r="G286" s="33" t="inlineStr">
        <is>
          <t>km</t>
        </is>
      </c>
      <c r="H286" s="35" t="inlineStr">
        <is>
          <t>Hard</t>
        </is>
      </c>
      <c r="I286" s="33" t="inlineStr">
        <is>
          <t>Computed great-circle distance (city centre to city centre)</t>
        </is>
      </c>
      <c r="J286" s="35" t="n"/>
      <c r="K286" s="33" t="n"/>
      <c r="L286" s="35">
        <f>COUNTIFS($A$2:$A$1501,A286,$D$2:$D$1501,D286)</f>
        <v/>
      </c>
    </row>
    <row r="287" ht="23.85" customHeight="1" s="26">
      <c r="A287" s="43" t="n">
        <v>58</v>
      </c>
      <c r="B287" s="44" t="n">
        <v>46357</v>
      </c>
      <c r="C287" s="43" t="n">
        <v>1</v>
      </c>
      <c r="D287" s="45" t="inlineStr">
        <is>
          <t>Human Body</t>
        </is>
      </c>
      <c r="E287" s="46" t="inlineStr">
        <is>
          <t>How many days does a full-term human pregnancy last, on average?</t>
        </is>
      </c>
      <c r="F287" s="47" t="n">
        <v>280</v>
      </c>
      <c r="G287" s="45" t="inlineStr">
        <is>
          <t>days</t>
        </is>
      </c>
      <c r="H287" s="43" t="inlineStr">
        <is>
          <t>Medium</t>
        </is>
      </c>
      <c r="I287" s="45" t="inlineStr">
        <is>
          <t>Cleveland Clinic / NIH / Guinness World Records</t>
        </is>
      </c>
      <c r="J287" s="43" t="n"/>
      <c r="K287" s="45" t="n"/>
      <c r="L287" s="43">
        <f>COUNTIFS($A$2:$A$1501,A287,$D$2:$D$1501,D287)</f>
        <v/>
      </c>
    </row>
    <row r="288" ht="23.85" customHeight="1" s="26">
      <c r="A288" s="43" t="n">
        <v>58</v>
      </c>
      <c r="B288" s="44" t="n">
        <v>46357</v>
      </c>
      <c r="C288" s="43" t="n">
        <v>2</v>
      </c>
      <c r="D288" s="45" t="inlineStr">
        <is>
          <t>Canada</t>
        </is>
      </c>
      <c r="E288" s="46" t="inlineStr">
        <is>
          <t>How fast do the CN Tower's glass elevators travel?</t>
        </is>
      </c>
      <c r="F288" s="47" t="n">
        <v>22</v>
      </c>
      <c r="G288" s="45" t="inlineStr">
        <is>
          <t>km/h</t>
        </is>
      </c>
      <c r="H288" s="43" t="inlineStr">
        <is>
          <t>Medium</t>
        </is>
      </c>
      <c r="I288" s="45" t="inlineStr">
        <is>
          <t>CN Tower</t>
        </is>
      </c>
      <c r="J288" s="43" t="n"/>
      <c r="K288" s="45" t="n"/>
      <c r="L288" s="43">
        <f>COUNTIFS($A$2:$A$1501,A288,$D$2:$D$1501,D288)</f>
        <v/>
      </c>
    </row>
    <row r="289" ht="23.85" customHeight="1" s="26">
      <c r="A289" s="43" t="n">
        <v>58</v>
      </c>
      <c r="B289" s="44" t="n">
        <v>46357</v>
      </c>
      <c r="C289" s="43" t="n">
        <v>3</v>
      </c>
      <c r="D289" s="45" t="inlineStr">
        <is>
          <t>Space and Science</t>
        </is>
      </c>
      <c r="E289" s="46" t="inlineStr">
        <is>
          <t>How many Earth years does Neptune take to orbit the Sun?</t>
        </is>
      </c>
      <c r="F289" s="47" t="n">
        <v>165</v>
      </c>
      <c r="G289" s="45" t="inlineStr">
        <is>
          <t>years</t>
        </is>
      </c>
      <c r="H289" s="43" t="inlineStr">
        <is>
          <t>Medium</t>
        </is>
      </c>
      <c r="I289" s="45" t="inlineStr">
        <is>
          <t>NASA</t>
        </is>
      </c>
      <c r="J289" s="43" t="n"/>
      <c r="K289" s="45" t="n"/>
      <c r="L289" s="43">
        <f>COUNTIFS($A$2:$A$1501,A289,$D$2:$D$1501,D289)</f>
        <v/>
      </c>
    </row>
    <row r="290" ht="23.85" customHeight="1" s="26">
      <c r="A290" s="43" t="n">
        <v>58</v>
      </c>
      <c r="B290" s="44" t="n">
        <v>46357</v>
      </c>
      <c r="C290" s="43" t="n">
        <v>4</v>
      </c>
      <c r="D290" s="45" t="inlineStr">
        <is>
          <t>Food and Everyday Life</t>
        </is>
      </c>
      <c r="E290" s="46" t="inlineStr">
        <is>
          <t>How many words does the Oxford English Dictionary define?</t>
        </is>
      </c>
      <c r="F290" s="47" t="n">
        <v>600000</v>
      </c>
      <c r="G290" s="45" t="inlineStr">
        <is>
          <t>words</t>
        </is>
      </c>
      <c r="H290" s="43" t="inlineStr">
        <is>
          <t>Hard</t>
        </is>
      </c>
      <c r="I290" s="45" t="inlineStr">
        <is>
          <t>Oxford University Press</t>
        </is>
      </c>
      <c r="J290" s="43" t="n"/>
      <c r="K290" s="45" t="n"/>
      <c r="L290" s="43">
        <f>COUNTIFS($A$2:$A$1501,A290,$D$2:$D$1501,D290)</f>
        <v/>
      </c>
    </row>
    <row r="291" ht="23.85" customHeight="1" s="26">
      <c r="A291" s="43" t="n">
        <v>58</v>
      </c>
      <c r="B291" s="44" t="n">
        <v>46357</v>
      </c>
      <c r="C291" s="43" t="n">
        <v>5</v>
      </c>
      <c r="D291" s="45" t="inlineStr">
        <is>
          <t>Distance of the Day</t>
        </is>
      </c>
      <c r="E291" s="46" t="inlineStr">
        <is>
          <t>How far is it in a straight line from Honolulu to Mumbai?</t>
        </is>
      </c>
      <c r="F291" s="47" t="n">
        <v>12900</v>
      </c>
      <c r="G291" s="45" t="inlineStr">
        <is>
          <t>km</t>
        </is>
      </c>
      <c r="H291" s="43" t="inlineStr">
        <is>
          <t>Hard</t>
        </is>
      </c>
      <c r="I291" s="45" t="inlineStr">
        <is>
          <t>Computed great-circle distance (city centre to city centre)</t>
        </is>
      </c>
      <c r="J291" s="43" t="n"/>
      <c r="K291" s="45" t="n"/>
      <c r="L291" s="43">
        <f>COUNTIFS($A$2:$A$1501,A291,$D$2:$D$1501,D291)</f>
        <v/>
      </c>
    </row>
    <row r="292" ht="23.85" customHeight="1" s="26">
      <c r="A292" s="35" t="n">
        <v>59</v>
      </c>
      <c r="B292" s="41" t="n">
        <v>46358</v>
      </c>
      <c r="C292" s="35" t="n">
        <v>1</v>
      </c>
      <c r="D292" s="33" t="inlineStr">
        <is>
          <t>Geography</t>
        </is>
      </c>
      <c r="E292" s="36" t="inlineStr">
        <is>
          <t>How wide is the Strait of Gibraltar at its narrowest point?</t>
        </is>
      </c>
      <c r="F292" s="42" t="n">
        <v>14</v>
      </c>
      <c r="G292" s="33" t="inlineStr">
        <is>
          <t>km</t>
        </is>
      </c>
      <c r="H292" s="35" t="inlineStr">
        <is>
          <t>Medium</t>
        </is>
      </c>
      <c r="I292" s="33" t="inlineStr">
        <is>
          <t>Britannica / national survey agencies</t>
        </is>
      </c>
      <c r="J292" s="35" t="n"/>
      <c r="K292" s="33" t="n"/>
      <c r="L292" s="35">
        <f>COUNTIFS($A$2:$A$1501,A292,$D$2:$D$1501,D292)</f>
        <v/>
      </c>
    </row>
    <row r="293" ht="23.85" customHeight="1" s="26">
      <c r="A293" s="35" t="n">
        <v>59</v>
      </c>
      <c r="B293" s="41" t="n">
        <v>46358</v>
      </c>
      <c r="C293" s="35" t="n">
        <v>2</v>
      </c>
      <c r="D293" s="33" t="inlineStr">
        <is>
          <t>Buildings and Engineering</t>
        </is>
      </c>
      <c r="E293" s="36" t="inlineStr">
        <is>
          <t>How fast does Formula Rossa, the world's fastest roller coaster, go?</t>
        </is>
      </c>
      <c r="F293" s="42" t="n">
        <v>240</v>
      </c>
      <c r="G293" s="33" t="inlineStr">
        <is>
          <t>km/h</t>
        </is>
      </c>
      <c r="H293" s="35" t="inlineStr">
        <is>
          <t>Medium</t>
        </is>
      </c>
      <c r="I293" s="33" t="inlineStr">
        <is>
          <t>Ferrari World</t>
        </is>
      </c>
      <c r="J293" s="35" t="n"/>
      <c r="K293" s="33" t="n"/>
      <c r="L293" s="35">
        <f>COUNTIFS($A$2:$A$1501,A293,$D$2:$D$1501,D293)</f>
        <v/>
      </c>
    </row>
    <row r="294" ht="23.85" customHeight="1" s="26">
      <c r="A294" s="35" t="n">
        <v>59</v>
      </c>
      <c r="B294" s="41" t="n">
        <v>46358</v>
      </c>
      <c r="C294" s="35" t="n">
        <v>3</v>
      </c>
      <c r="D294" s="33" t="inlineStr">
        <is>
          <t>Sports</t>
        </is>
      </c>
      <c r="E294" s="36" t="inlineStr">
        <is>
          <t>How far is it from the pitcher's mound to home plate in MLB?</t>
        </is>
      </c>
      <c r="F294" s="42" t="n">
        <v>60.5</v>
      </c>
      <c r="G294" s="33" t="inlineStr">
        <is>
          <t>feet</t>
        </is>
      </c>
      <c r="H294" s="35" t="inlineStr">
        <is>
          <t>Medium</t>
        </is>
      </c>
      <c r="I294" s="33" t="inlineStr">
        <is>
          <t>MLB Official Rules</t>
        </is>
      </c>
      <c r="J294" s="35" t="n"/>
      <c r="K294" s="33" t="n"/>
      <c r="L294" s="35">
        <f>COUNTIFS($A$2:$A$1501,A294,$D$2:$D$1501,D294)</f>
        <v/>
      </c>
    </row>
    <row r="295" ht="23.85" customHeight="1" s="26">
      <c r="A295" s="35" t="n">
        <v>59</v>
      </c>
      <c r="B295" s="41" t="n">
        <v>46358</v>
      </c>
      <c r="C295" s="35" t="n">
        <v>4</v>
      </c>
      <c r="D295" s="33" t="inlineStr">
        <is>
          <t>Movies, Music and Games</t>
        </is>
      </c>
      <c r="E295" s="36" t="inlineStr">
        <is>
          <t>How long is the movie Titanic (1997)?</t>
        </is>
      </c>
      <c r="F295" s="42" t="n">
        <v>194</v>
      </c>
      <c r="G295" s="33" t="inlineStr">
        <is>
          <t>minutes</t>
        </is>
      </c>
      <c r="H295" s="35" t="inlineStr">
        <is>
          <t>Medium</t>
        </is>
      </c>
      <c r="I295" s="33" t="inlineStr">
        <is>
          <t>IMDb</t>
        </is>
      </c>
      <c r="J295" s="35" t="n"/>
      <c r="K295" s="33" t="n"/>
      <c r="L295" s="35">
        <f>COUNTIFS($A$2:$A$1501,A295,$D$2:$D$1501,D295)</f>
        <v/>
      </c>
    </row>
    <row r="296" ht="23.85" customHeight="1" s="26">
      <c r="A296" s="35" t="n">
        <v>59</v>
      </c>
      <c r="B296" s="41" t="n">
        <v>46358</v>
      </c>
      <c r="C296" s="35" t="n">
        <v>5</v>
      </c>
      <c r="D296" s="33" t="inlineStr">
        <is>
          <t>Distance of the Day</t>
        </is>
      </c>
      <c r="E296" s="36" t="inlineStr">
        <is>
          <t>How far is it in a straight line from Edmonton to Mexico City?</t>
        </is>
      </c>
      <c r="F296" s="42" t="n">
        <v>3990</v>
      </c>
      <c r="G296" s="33" t="inlineStr">
        <is>
          <t>km</t>
        </is>
      </c>
      <c r="H296" s="35" t="inlineStr">
        <is>
          <t>Medium</t>
        </is>
      </c>
      <c r="I296" s="33" t="inlineStr">
        <is>
          <t>Computed great-circle distance (city centre to city centre)</t>
        </is>
      </c>
      <c r="J296" s="35" t="n"/>
      <c r="K296" s="33" t="n"/>
      <c r="L296" s="35">
        <f>COUNTIFS($A$2:$A$1501,A296,$D$2:$D$1501,D296)</f>
        <v/>
      </c>
    </row>
    <row r="297" ht="23.85" customHeight="1" s="26">
      <c r="A297" s="43" t="n">
        <v>60</v>
      </c>
      <c r="B297" s="44" t="n">
        <v>46359</v>
      </c>
      <c r="C297" s="43" t="n">
        <v>1</v>
      </c>
      <c r="D297" s="45" t="inlineStr">
        <is>
          <t>Space and Science</t>
        </is>
      </c>
      <c r="E297" s="46" t="inlineStr">
        <is>
          <t>How far is the Moon from Earth, on average?</t>
        </is>
      </c>
      <c r="F297" s="47" t="n">
        <v>384400</v>
      </c>
      <c r="G297" s="45" t="inlineStr">
        <is>
          <t>km</t>
        </is>
      </c>
      <c r="H297" s="43" t="inlineStr">
        <is>
          <t>Medium</t>
        </is>
      </c>
      <c r="I297" s="45" t="inlineStr">
        <is>
          <t>NASA</t>
        </is>
      </c>
      <c r="J297" s="43" t="n"/>
      <c r="K297" s="45" t="n"/>
      <c r="L297" s="43">
        <f>COUNTIFS($A$2:$A$1501,A297,$D$2:$D$1501,D297)</f>
        <v/>
      </c>
    </row>
    <row r="298" ht="23.85" customHeight="1" s="26">
      <c r="A298" s="43" t="n">
        <v>60</v>
      </c>
      <c r="B298" s="44" t="n">
        <v>46359</v>
      </c>
      <c r="C298" s="43" t="n">
        <v>2</v>
      </c>
      <c r="D298" s="45" t="inlineStr">
        <is>
          <t>Canada</t>
        </is>
      </c>
      <c r="E298" s="46" t="inlineStr">
        <is>
          <t>How long is the Rideau Canal Skateway in Ottawa?</t>
        </is>
      </c>
      <c r="F298" s="47" t="n">
        <v>7.8</v>
      </c>
      <c r="G298" s="45" t="inlineStr">
        <is>
          <t>km</t>
        </is>
      </c>
      <c r="H298" s="43" t="inlineStr">
        <is>
          <t>Medium</t>
        </is>
      </c>
      <c r="I298" s="45" t="inlineStr">
        <is>
          <t>National Capital Commission</t>
        </is>
      </c>
      <c r="J298" s="43" t="n"/>
      <c r="K298" s="45" t="n"/>
      <c r="L298" s="43">
        <f>COUNTIFS($A$2:$A$1501,A298,$D$2:$D$1501,D298)</f>
        <v/>
      </c>
    </row>
    <row r="299" ht="23.85" customHeight="1" s="26">
      <c r="A299" s="43" t="n">
        <v>60</v>
      </c>
      <c r="B299" s="44" t="n">
        <v>46359</v>
      </c>
      <c r="C299" s="43" t="n">
        <v>3</v>
      </c>
      <c r="D299" s="45" t="inlineStr">
        <is>
          <t>Food and Everyday Life</t>
        </is>
      </c>
      <c r="E299" s="46" t="inlineStr">
        <is>
          <t>How long is a sheet of A4 paper?</t>
        </is>
      </c>
      <c r="F299" s="47" t="n">
        <v>297</v>
      </c>
      <c r="G299" s="45" t="inlineStr">
        <is>
          <t>mm</t>
        </is>
      </c>
      <c r="H299" s="43" t="inlineStr">
        <is>
          <t>Medium</t>
        </is>
      </c>
      <c r="I299" s="45" t="inlineStr">
        <is>
          <t>ISO 216</t>
        </is>
      </c>
      <c r="J299" s="43" t="n"/>
      <c r="K299" s="45" t="n"/>
      <c r="L299" s="43">
        <f>COUNTIFS($A$2:$A$1501,A299,$D$2:$D$1501,D299)</f>
        <v/>
      </c>
    </row>
    <row r="300" ht="23.85" customHeight="1" s="26">
      <c r="A300" s="43" t="n">
        <v>60</v>
      </c>
      <c r="B300" s="44" t="n">
        <v>46359</v>
      </c>
      <c r="C300" s="43" t="n">
        <v>4</v>
      </c>
      <c r="D300" s="45" t="inlineStr">
        <is>
          <t>History</t>
        </is>
      </c>
      <c r="E300" s="46" t="inlineStr">
        <is>
          <t>How many years did the Western Roman Empire last, from Augustus to its fall in 476?</t>
        </is>
      </c>
      <c r="F300" s="47" t="n">
        <v>503</v>
      </c>
      <c r="G300" s="45" t="inlineStr">
        <is>
          <t>years</t>
        </is>
      </c>
      <c r="H300" s="43" t="inlineStr">
        <is>
          <t>Hard</t>
        </is>
      </c>
      <c r="I300" s="45" t="inlineStr">
        <is>
          <t>Britannica / national archives</t>
        </is>
      </c>
      <c r="J300" s="43" t="n"/>
      <c r="K300" s="45" t="n"/>
      <c r="L300" s="43">
        <f>COUNTIFS($A$2:$A$1501,A300,$D$2:$D$1501,D300)</f>
        <v/>
      </c>
    </row>
    <row r="301" ht="23.85" customHeight="1" s="26">
      <c r="A301" s="43" t="n">
        <v>60</v>
      </c>
      <c r="B301" s="44" t="n">
        <v>46359</v>
      </c>
      <c r="C301" s="43" t="n">
        <v>5</v>
      </c>
      <c r="D301" s="45" t="inlineStr">
        <is>
          <t>Distance of the Day</t>
        </is>
      </c>
      <c r="E301" s="46" t="inlineStr">
        <is>
          <t>How far is it in a straight line from Nairobi to Tokyo?</t>
        </is>
      </c>
      <c r="F301" s="47" t="n">
        <v>11250</v>
      </c>
      <c r="G301" s="45" t="inlineStr">
        <is>
          <t>km</t>
        </is>
      </c>
      <c r="H301" s="43" t="inlineStr">
        <is>
          <t>Hard</t>
        </is>
      </c>
      <c r="I301" s="45" t="inlineStr">
        <is>
          <t>Computed great-circle distance (city centre to city centre)</t>
        </is>
      </c>
      <c r="J301" s="43" t="n"/>
      <c r="K301" s="45" t="n"/>
      <c r="L301" s="43">
        <f>COUNTIFS($A$2:$A$1501,A301,$D$2:$D$1501,D301)</f>
        <v/>
      </c>
    </row>
    <row r="302" ht="23.85" customHeight="1" s="26">
      <c r="A302" s="35" t="n">
        <v>61</v>
      </c>
      <c r="B302" s="41" t="n">
        <v>46360</v>
      </c>
      <c r="C302" s="35" t="n">
        <v>1</v>
      </c>
      <c r="D302" s="33" t="inlineStr">
        <is>
          <t>Buildings and Engineering</t>
        </is>
      </c>
      <c r="E302" s="36" t="inlineStr">
        <is>
          <t>How tall is One World Trade Center, including its spire?</t>
        </is>
      </c>
      <c r="F302" s="42" t="n">
        <v>1776</v>
      </c>
      <c r="G302" s="33" t="inlineStr">
        <is>
          <t>feet</t>
        </is>
      </c>
      <c r="H302" s="35" t="inlineStr">
        <is>
          <t>Medium</t>
        </is>
      </c>
      <c r="I302" s="33" t="inlineStr">
        <is>
          <t>CTBUH</t>
        </is>
      </c>
      <c r="J302" s="35" t="n"/>
      <c r="K302" s="33" t="n"/>
      <c r="L302" s="35">
        <f>COUNTIFS($A$2:$A$1501,A302,$D$2:$D$1501,D302)</f>
        <v/>
      </c>
    </row>
    <row r="303" ht="23.85" customHeight="1" s="26">
      <c r="A303" s="35" t="n">
        <v>61</v>
      </c>
      <c r="B303" s="41" t="n">
        <v>46360</v>
      </c>
      <c r="C303" s="35" t="n">
        <v>2</v>
      </c>
      <c r="D303" s="33" t="inlineStr">
        <is>
          <t>Movies, Music and Games</t>
        </is>
      </c>
      <c r="E303" s="36" t="inlineStr">
        <is>
          <t>How long is Home Alone?</t>
        </is>
      </c>
      <c r="F303" s="42" t="n">
        <v>103</v>
      </c>
      <c r="G303" s="33" t="inlineStr">
        <is>
          <t>minutes</t>
        </is>
      </c>
      <c r="H303" s="35" t="inlineStr">
        <is>
          <t>Medium</t>
        </is>
      </c>
      <c r="I303" s="33" t="inlineStr">
        <is>
          <t>IMDb</t>
        </is>
      </c>
      <c r="J303" s="35" t="n"/>
      <c r="K303" s="33" t="n"/>
      <c r="L303" s="35">
        <f>COUNTIFS($A$2:$A$1501,A303,$D$2:$D$1501,D303)</f>
        <v/>
      </c>
    </row>
    <row r="304" ht="23.85" customHeight="1" s="26">
      <c r="A304" s="35" t="n">
        <v>61</v>
      </c>
      <c r="B304" s="41" t="n">
        <v>46360</v>
      </c>
      <c r="C304" s="35" t="n">
        <v>3</v>
      </c>
      <c r="D304" s="33" t="inlineStr">
        <is>
          <t>Geography</t>
        </is>
      </c>
      <c r="E304" s="36" t="inlineStr">
        <is>
          <t>How high above sea level is Quito, Ecuador's capital?</t>
        </is>
      </c>
      <c r="F304" s="42" t="n">
        <v>2850</v>
      </c>
      <c r="G304" s="33" t="inlineStr">
        <is>
          <t>metres</t>
        </is>
      </c>
      <c r="H304" s="35" t="inlineStr">
        <is>
          <t>Hard</t>
        </is>
      </c>
      <c r="I304" s="33" t="inlineStr">
        <is>
          <t>Britannica / national survey agencies</t>
        </is>
      </c>
      <c r="J304" s="35" t="n"/>
      <c r="K304" s="33" t="n"/>
      <c r="L304" s="35">
        <f>COUNTIFS($A$2:$A$1501,A304,$D$2:$D$1501,D304)</f>
        <v/>
      </c>
    </row>
    <row r="305" ht="23.85" customHeight="1" s="26">
      <c r="A305" s="35" t="n">
        <v>61</v>
      </c>
      <c r="B305" s="41" t="n">
        <v>46360</v>
      </c>
      <c r="C305" s="35" t="n">
        <v>4</v>
      </c>
      <c r="D305" s="33" t="inlineStr">
        <is>
          <t>Sports</t>
        </is>
      </c>
      <c r="E305" s="36" t="inlineStr">
        <is>
          <t>How many points did Mario Lemieux score in his NHL regular-season career?</t>
        </is>
      </c>
      <c r="F305" s="42" t="n">
        <v>1723</v>
      </c>
      <c r="G305" s="33" t="inlineStr">
        <is>
          <t>points</t>
        </is>
      </c>
      <c r="H305" s="35" t="inlineStr">
        <is>
          <t>Hard</t>
        </is>
      </c>
      <c r="I305" s="33" t="inlineStr">
        <is>
          <t>NHL Records</t>
        </is>
      </c>
      <c r="J305" s="35" t="n"/>
      <c r="K305" s="33" t="n"/>
      <c r="L305" s="35">
        <f>COUNTIFS($A$2:$A$1501,A305,$D$2:$D$1501,D305)</f>
        <v/>
      </c>
    </row>
    <row r="306" ht="23.85" customHeight="1" s="26">
      <c r="A306" s="35" t="n">
        <v>61</v>
      </c>
      <c r="B306" s="41" t="n">
        <v>46360</v>
      </c>
      <c r="C306" s="35" t="n">
        <v>5</v>
      </c>
      <c r="D306" s="33" t="inlineStr">
        <is>
          <t>Distance of the Day</t>
        </is>
      </c>
      <c r="E306" s="36" t="inlineStr">
        <is>
          <t>How far is it in a straight line from Ottawa to Chicago?</t>
        </is>
      </c>
      <c r="F306" s="42" t="n">
        <v>1040</v>
      </c>
      <c r="G306" s="33" t="inlineStr">
        <is>
          <t>km</t>
        </is>
      </c>
      <c r="H306" s="35" t="inlineStr">
        <is>
          <t>Easy</t>
        </is>
      </c>
      <c r="I306" s="33" t="inlineStr">
        <is>
          <t>Computed great-circle distance (city centre to city centre)</t>
        </is>
      </c>
      <c r="J306" s="35" t="n"/>
      <c r="K306" s="33" t="n"/>
      <c r="L306" s="35">
        <f>COUNTIFS($A$2:$A$1501,A306,$D$2:$D$1501,D306)</f>
        <v/>
      </c>
    </row>
    <row r="307" ht="23.85" customHeight="1" s="26">
      <c r="A307" s="43" t="n">
        <v>62</v>
      </c>
      <c r="B307" s="44" t="n">
        <v>46361</v>
      </c>
      <c r="C307" s="43" t="n">
        <v>1</v>
      </c>
      <c r="D307" s="45" t="inlineStr">
        <is>
          <t>Human Body</t>
        </is>
      </c>
      <c r="E307" s="46" t="inlineStr">
        <is>
          <t>How many vertebrae are in the human spine?</t>
        </is>
      </c>
      <c r="F307" s="47" t="n">
        <v>33</v>
      </c>
      <c r="G307" s="45" t="inlineStr">
        <is>
          <t>vertebrae</t>
        </is>
      </c>
      <c r="H307" s="43" t="inlineStr">
        <is>
          <t>Medium</t>
        </is>
      </c>
      <c r="I307" s="45" t="inlineStr">
        <is>
          <t>Cleveland Clinic / NIH / Guinness World Records</t>
        </is>
      </c>
      <c r="J307" s="43" t="n"/>
      <c r="K307" s="45" t="n"/>
      <c r="L307" s="43">
        <f>COUNTIFS($A$2:$A$1501,A307,$D$2:$D$1501,D307)</f>
        <v/>
      </c>
    </row>
    <row r="308" ht="23.85" customHeight="1" s="26">
      <c r="A308" s="43" t="n">
        <v>62</v>
      </c>
      <c r="B308" s="44" t="n">
        <v>46361</v>
      </c>
      <c r="C308" s="43" t="n">
        <v>2</v>
      </c>
      <c r="D308" s="45" t="inlineStr">
        <is>
          <t>Animals and Nature</t>
        </is>
      </c>
      <c r="E308" s="46" t="inlineStr">
        <is>
          <t>How many species of sharks are there?</t>
        </is>
      </c>
      <c r="F308" s="47" t="n">
        <v>540</v>
      </c>
      <c r="G308" s="45" t="inlineStr">
        <is>
          <t>species</t>
        </is>
      </c>
      <c r="H308" s="43" t="inlineStr">
        <is>
          <t>Hard</t>
        </is>
      </c>
      <c r="I308" s="45" t="inlineStr">
        <is>
          <t>Britannica / National Geographic / Guinness World Records</t>
        </is>
      </c>
      <c r="J308" s="43" t="n"/>
      <c r="K308" s="45" t="n"/>
      <c r="L308" s="43">
        <f>COUNTIFS($A$2:$A$1501,A308,$D$2:$D$1501,D308)</f>
        <v/>
      </c>
    </row>
    <row r="309" ht="23.85" customHeight="1" s="26">
      <c r="A309" s="43" t="n">
        <v>62</v>
      </c>
      <c r="B309" s="44" t="n">
        <v>46361</v>
      </c>
      <c r="C309" s="43" t="n">
        <v>3</v>
      </c>
      <c r="D309" s="45" t="inlineStr">
        <is>
          <t>Space and Science</t>
        </is>
      </c>
      <c r="E309" s="46" t="inlineStr">
        <is>
          <t>How many Earth days long is a year on Jupiter?</t>
        </is>
      </c>
      <c r="F309" s="47" t="n">
        <v>4333</v>
      </c>
      <c r="G309" s="45" t="inlineStr">
        <is>
          <t>days</t>
        </is>
      </c>
      <c r="H309" s="43" t="inlineStr">
        <is>
          <t>Hard</t>
        </is>
      </c>
      <c r="I309" s="45" t="inlineStr">
        <is>
          <t>NASA</t>
        </is>
      </c>
      <c r="J309" s="43" t="n"/>
      <c r="K309" s="45" t="n"/>
      <c r="L309" s="43">
        <f>COUNTIFS($A$2:$A$1501,A309,$D$2:$D$1501,D309)</f>
        <v/>
      </c>
    </row>
    <row r="310" ht="23.85" customHeight="1" s="26">
      <c r="A310" s="43" t="n">
        <v>62</v>
      </c>
      <c r="B310" s="44" t="n">
        <v>46361</v>
      </c>
      <c r="C310" s="43" t="n">
        <v>4</v>
      </c>
      <c r="D310" s="45" t="inlineStr">
        <is>
          <t>Canada</t>
        </is>
      </c>
      <c r="E310" s="46" t="inlineStr">
        <is>
          <t>How big is Canada?</t>
        </is>
      </c>
      <c r="F310" s="47" t="n">
        <v>9984670</v>
      </c>
      <c r="G310" s="45" t="inlineStr">
        <is>
          <t>km²</t>
        </is>
      </c>
      <c r="H310" s="43" t="inlineStr">
        <is>
          <t>Hard</t>
        </is>
      </c>
      <c r="I310" s="45" t="inlineStr">
        <is>
          <t>Statistics Canada</t>
        </is>
      </c>
      <c r="J310" s="43" t="n"/>
      <c r="K310" s="45" t="n"/>
      <c r="L310" s="43">
        <f>COUNTIFS($A$2:$A$1501,A310,$D$2:$D$1501,D310)</f>
        <v/>
      </c>
    </row>
    <row r="311" ht="23.85" customHeight="1" s="26">
      <c r="A311" s="43" t="n">
        <v>62</v>
      </c>
      <c r="B311" s="44" t="n">
        <v>46361</v>
      </c>
      <c r="C311" s="43" t="n">
        <v>5</v>
      </c>
      <c r="D311" s="45" t="inlineStr">
        <is>
          <t>Distance of the Day</t>
        </is>
      </c>
      <c r="E311" s="46" t="inlineStr">
        <is>
          <t>How far is it in a straight line from Cairo to Mecca?</t>
        </is>
      </c>
      <c r="F311" s="47" t="n">
        <v>1290</v>
      </c>
      <c r="G311" s="45" t="inlineStr">
        <is>
          <t>km</t>
        </is>
      </c>
      <c r="H311" s="43" t="inlineStr">
        <is>
          <t>Easy</t>
        </is>
      </c>
      <c r="I311" s="45" t="inlineStr">
        <is>
          <t>Computed great-circle distance (city centre to city centre)</t>
        </is>
      </c>
      <c r="J311" s="43" t="n"/>
      <c r="K311" s="45" t="n"/>
      <c r="L311" s="43">
        <f>COUNTIFS($A$2:$A$1501,A311,$D$2:$D$1501,D311)</f>
        <v/>
      </c>
    </row>
    <row r="312" ht="23.85" customHeight="1" s="26">
      <c r="A312" s="35" t="n">
        <v>63</v>
      </c>
      <c r="B312" s="41" t="n">
        <v>46362</v>
      </c>
      <c r="C312" s="35" t="n">
        <v>1</v>
      </c>
      <c r="D312" s="33" t="inlineStr">
        <is>
          <t>Sports</t>
        </is>
      </c>
      <c r="E312" s="36" t="inlineStr">
        <is>
          <t>How many regular-season goals did Wayne Gretzky score in his NHL career?</t>
        </is>
      </c>
      <c r="F312" s="42" t="n">
        <v>894</v>
      </c>
      <c r="G312" s="33" t="inlineStr">
        <is>
          <t>goals</t>
        </is>
      </c>
      <c r="H312" s="35" t="inlineStr">
        <is>
          <t>Medium</t>
        </is>
      </c>
      <c r="I312" s="33" t="inlineStr">
        <is>
          <t>NHL Records</t>
        </is>
      </c>
      <c r="J312" s="35" t="n"/>
      <c r="K312" s="33" t="n"/>
      <c r="L312" s="35">
        <f>COUNTIFS($A$2:$A$1501,A312,$D$2:$D$1501,D312)</f>
        <v/>
      </c>
    </row>
    <row r="313" ht="23.85" customHeight="1" s="26">
      <c r="A313" s="35" t="n">
        <v>63</v>
      </c>
      <c r="B313" s="41" t="n">
        <v>46362</v>
      </c>
      <c r="C313" s="35" t="n">
        <v>2</v>
      </c>
      <c r="D313" s="33" t="inlineStr">
        <is>
          <t>Movies, Music and Games</t>
        </is>
      </c>
      <c r="E313" s="36" t="inlineStr">
        <is>
          <t>How long is Back to the Future?</t>
        </is>
      </c>
      <c r="F313" s="42" t="n">
        <v>116</v>
      </c>
      <c r="G313" s="33" t="inlineStr">
        <is>
          <t>minutes</t>
        </is>
      </c>
      <c r="H313" s="35" t="inlineStr">
        <is>
          <t>Medium</t>
        </is>
      </c>
      <c r="I313" s="33" t="inlineStr">
        <is>
          <t>IMDb</t>
        </is>
      </c>
      <c r="J313" s="35" t="n"/>
      <c r="K313" s="33" t="n"/>
      <c r="L313" s="35">
        <f>COUNTIFS($A$2:$A$1501,A313,$D$2:$D$1501,D313)</f>
        <v/>
      </c>
    </row>
    <row r="314" ht="23.85" customHeight="1" s="26">
      <c r="A314" s="35" t="n">
        <v>63</v>
      </c>
      <c r="B314" s="41" t="n">
        <v>46362</v>
      </c>
      <c r="C314" s="35" t="n">
        <v>3</v>
      </c>
      <c r="D314" s="33" t="inlineStr">
        <is>
          <t>Geography</t>
        </is>
      </c>
      <c r="E314" s="36" t="inlineStr">
        <is>
          <t>How big is India?</t>
        </is>
      </c>
      <c r="F314" s="42" t="n">
        <v>3287263</v>
      </c>
      <c r="G314" s="33" t="inlineStr">
        <is>
          <t>km²</t>
        </is>
      </c>
      <c r="H314" s="35" t="inlineStr">
        <is>
          <t>Hard</t>
        </is>
      </c>
      <c r="I314" s="33" t="inlineStr">
        <is>
          <t>Britannica / national survey agencies</t>
        </is>
      </c>
      <c r="J314" s="35" t="n"/>
      <c r="K314" s="33" t="n"/>
      <c r="L314" s="35">
        <f>COUNTIFS($A$2:$A$1501,A314,$D$2:$D$1501,D314)</f>
        <v/>
      </c>
    </row>
    <row r="315" ht="23.85" customHeight="1" s="26">
      <c r="A315" s="35" t="n">
        <v>63</v>
      </c>
      <c r="B315" s="41" t="n">
        <v>46362</v>
      </c>
      <c r="C315" s="35" t="n">
        <v>4</v>
      </c>
      <c r="D315" s="33" t="inlineStr">
        <is>
          <t>Buildings and Engineering</t>
        </is>
      </c>
      <c r="E315" s="36" t="inlineStr">
        <is>
          <t>How many rivets hold the Eiffel Tower together?</t>
        </is>
      </c>
      <c r="F315" s="42" t="n">
        <v>2500000</v>
      </c>
      <c r="G315" s="33" t="inlineStr">
        <is>
          <t>rivets</t>
        </is>
      </c>
      <c r="H315" s="35" t="inlineStr">
        <is>
          <t>Hard</t>
        </is>
      </c>
      <c r="I315" s="33" t="inlineStr">
        <is>
          <t>Société d'Exploitation de la Tour Eiffel</t>
        </is>
      </c>
      <c r="J315" s="35" t="n"/>
      <c r="K315" s="33" t="n"/>
      <c r="L315" s="35">
        <f>COUNTIFS($A$2:$A$1501,A315,$D$2:$D$1501,D315)</f>
        <v/>
      </c>
    </row>
    <row r="316" ht="23.85" customHeight="1" s="26">
      <c r="A316" s="35" t="n">
        <v>63</v>
      </c>
      <c r="B316" s="41" t="n">
        <v>46362</v>
      </c>
      <c r="C316" s="35" t="n">
        <v>5</v>
      </c>
      <c r="D316" s="33" t="inlineStr">
        <is>
          <t>Distance of the Day</t>
        </is>
      </c>
      <c r="E316" s="36" t="inlineStr">
        <is>
          <t>How far is it in a straight line from Calgary to Cairo?</t>
        </is>
      </c>
      <c r="F316" s="42" t="n">
        <v>10380</v>
      </c>
      <c r="G316" s="33" t="inlineStr">
        <is>
          <t>km</t>
        </is>
      </c>
      <c r="H316" s="35" t="inlineStr">
        <is>
          <t>Hard</t>
        </is>
      </c>
      <c r="I316" s="33" t="inlineStr">
        <is>
          <t>Computed great-circle distance (city centre to city centre)</t>
        </is>
      </c>
      <c r="J316" s="35" t="n"/>
      <c r="K316" s="33" t="n"/>
      <c r="L316" s="35">
        <f>COUNTIFS($A$2:$A$1501,A316,$D$2:$D$1501,D316)</f>
        <v/>
      </c>
    </row>
    <row r="317" ht="23.85" customHeight="1" s="26">
      <c r="A317" s="43" t="n">
        <v>64</v>
      </c>
      <c r="B317" s="44" t="n">
        <v>46363</v>
      </c>
      <c r="C317" s="43" t="n">
        <v>1</v>
      </c>
      <c r="D317" s="45" t="inlineStr">
        <is>
          <t>Animals and Nature</t>
        </is>
      </c>
      <c r="E317" s="46" t="inlineStr">
        <is>
          <t>How fast can a cheetah run?</t>
        </is>
      </c>
      <c r="F317" s="47" t="n">
        <v>110</v>
      </c>
      <c r="G317" s="45" t="inlineStr">
        <is>
          <t>km/h</t>
        </is>
      </c>
      <c r="H317" s="43" t="inlineStr">
        <is>
          <t>Medium</t>
        </is>
      </c>
      <c r="I317" s="45" t="inlineStr">
        <is>
          <t>Britannica / National Geographic / Guinness World Records</t>
        </is>
      </c>
      <c r="J317" s="43" t="n"/>
      <c r="K317" s="45" t="n"/>
      <c r="L317" s="43">
        <f>COUNTIFS($A$2:$A$1501,A317,$D$2:$D$1501,D317)</f>
        <v/>
      </c>
    </row>
    <row r="318" ht="23.85" customHeight="1" s="26">
      <c r="A318" s="43" t="n">
        <v>64</v>
      </c>
      <c r="B318" s="44" t="n">
        <v>46363</v>
      </c>
      <c r="C318" s="43" t="n">
        <v>2</v>
      </c>
      <c r="D318" s="45" t="inlineStr">
        <is>
          <t>History</t>
        </is>
      </c>
      <c r="E318" s="46" t="inlineStr">
        <is>
          <t>How many years did the Hundred Years' War actually last?</t>
        </is>
      </c>
      <c r="F318" s="47" t="n">
        <v>116</v>
      </c>
      <c r="G318" s="45" t="inlineStr">
        <is>
          <t>years</t>
        </is>
      </c>
      <c r="H318" s="43" t="inlineStr">
        <is>
          <t>Medium</t>
        </is>
      </c>
      <c r="I318" s="45" t="inlineStr">
        <is>
          <t>Britannica / national archives</t>
        </is>
      </c>
      <c r="J318" s="43" t="n"/>
      <c r="K318" s="45" t="n"/>
      <c r="L318" s="43">
        <f>COUNTIFS($A$2:$A$1501,A318,$D$2:$D$1501,D318)</f>
        <v/>
      </c>
    </row>
    <row r="319" ht="23.85" customHeight="1" s="26">
      <c r="A319" s="43" t="n">
        <v>64</v>
      </c>
      <c r="B319" s="44" t="n">
        <v>46363</v>
      </c>
      <c r="C319" s="43" t="n">
        <v>3</v>
      </c>
      <c r="D319" s="45" t="inlineStr">
        <is>
          <t>Human Body</t>
        </is>
      </c>
      <c r="E319" s="46" t="inlineStr">
        <is>
          <t>How much blood do your kidneys filter in a day?</t>
        </is>
      </c>
      <c r="F319" s="47" t="n">
        <v>180</v>
      </c>
      <c r="G319" s="45" t="inlineStr">
        <is>
          <t>litres</t>
        </is>
      </c>
      <c r="H319" s="43" t="inlineStr">
        <is>
          <t>Hard</t>
        </is>
      </c>
      <c r="I319" s="45" t="inlineStr">
        <is>
          <t>Cleveland Clinic / NIH / Guinness World Records</t>
        </is>
      </c>
      <c r="J319" s="43" t="n"/>
      <c r="K319" s="45" t="n"/>
      <c r="L319" s="43">
        <f>COUNTIFS($A$2:$A$1501,A319,$D$2:$D$1501,D319)</f>
        <v/>
      </c>
    </row>
    <row r="320" ht="23.85" customHeight="1" s="26">
      <c r="A320" s="43" t="n">
        <v>64</v>
      </c>
      <c r="B320" s="44" t="n">
        <v>46363</v>
      </c>
      <c r="C320" s="43" t="n">
        <v>4</v>
      </c>
      <c r="D320" s="45" t="inlineStr">
        <is>
          <t>Food and Everyday Life</t>
        </is>
      </c>
      <c r="E320" s="46" t="inlineStr">
        <is>
          <t>How many litres of water does it take to produce one cup of coffee, including growing the beans?</t>
        </is>
      </c>
      <c r="F320" s="47" t="n">
        <v>140</v>
      </c>
      <c r="G320" s="45" t="inlineStr">
        <is>
          <t>litres</t>
        </is>
      </c>
      <c r="H320" s="43" t="inlineStr">
        <is>
          <t>Hard</t>
        </is>
      </c>
      <c r="I320" s="45" t="inlineStr">
        <is>
          <t>Water Footprint Network</t>
        </is>
      </c>
      <c r="J320" s="43" t="n"/>
      <c r="K320" s="45" t="n"/>
      <c r="L320" s="43">
        <f>COUNTIFS($A$2:$A$1501,A320,$D$2:$D$1501,D320)</f>
        <v/>
      </c>
    </row>
    <row r="321" ht="23.85" customHeight="1" s="26">
      <c r="A321" s="43" t="n">
        <v>64</v>
      </c>
      <c r="B321" s="44" t="n">
        <v>46363</v>
      </c>
      <c r="C321" s="43" t="n">
        <v>5</v>
      </c>
      <c r="D321" s="45" t="inlineStr">
        <is>
          <t>Distance of the Day</t>
        </is>
      </c>
      <c r="E321" s="46" t="inlineStr">
        <is>
          <t>How far is it in a straight line from Mexico City to Lahore?</t>
        </is>
      </c>
      <c r="F321" s="47" t="n">
        <v>14310</v>
      </c>
      <c r="G321" s="45" t="inlineStr">
        <is>
          <t>km</t>
        </is>
      </c>
      <c r="H321" s="43" t="inlineStr">
        <is>
          <t>Hard</t>
        </is>
      </c>
      <c r="I321" s="45" t="inlineStr">
        <is>
          <t>Computed great-circle distance (city centre to city centre)</t>
        </is>
      </c>
      <c r="J321" s="43" t="n"/>
      <c r="K321" s="45" t="n"/>
      <c r="L321" s="43">
        <f>COUNTIFS($A$2:$A$1501,A321,$D$2:$D$1501,D321)</f>
        <v/>
      </c>
    </row>
    <row r="322" ht="23.85" customHeight="1" s="26">
      <c r="A322" s="35" t="n">
        <v>65</v>
      </c>
      <c r="B322" s="41" t="n">
        <v>46364</v>
      </c>
      <c r="C322" s="35" t="n">
        <v>1</v>
      </c>
      <c r="D322" s="33" t="inlineStr">
        <is>
          <t>Geography</t>
        </is>
      </c>
      <c r="E322" s="36" t="inlineStr">
        <is>
          <t>How tall is Mount Everest?</t>
        </is>
      </c>
      <c r="F322" s="42" t="n">
        <v>8849</v>
      </c>
      <c r="G322" s="33" t="inlineStr">
        <is>
          <t>metres</t>
        </is>
      </c>
      <c r="H322" s="35" t="inlineStr">
        <is>
          <t>Easy</t>
        </is>
      </c>
      <c r="I322" s="33" t="inlineStr">
        <is>
          <t>Nepal-China survey 2020</t>
        </is>
      </c>
      <c r="J322" s="35" t="n"/>
      <c r="K322" s="33" t="n"/>
      <c r="L322" s="35">
        <f>COUNTIFS($A$2:$A$1501,A322,$D$2:$D$1501,D322)</f>
        <v/>
      </c>
    </row>
    <row r="323" ht="23.85" customHeight="1" s="26">
      <c r="A323" s="35" t="n">
        <v>65</v>
      </c>
      <c r="B323" s="41" t="n">
        <v>46364</v>
      </c>
      <c r="C323" s="35" t="n">
        <v>2</v>
      </c>
      <c r="D323" s="33" t="inlineStr">
        <is>
          <t>Sports</t>
        </is>
      </c>
      <c r="E323" s="36" t="inlineStr">
        <is>
          <t>How many points did Wilt Chamberlain score in his famous single NBA game?</t>
        </is>
      </c>
      <c r="F323" s="42" t="n">
        <v>100</v>
      </c>
      <c r="G323" s="33" t="inlineStr">
        <is>
          <t>points</t>
        </is>
      </c>
      <c r="H323" s="35" t="inlineStr">
        <is>
          <t>Easy</t>
        </is>
      </c>
      <c r="I323" s="33" t="inlineStr">
        <is>
          <t>NBA.com</t>
        </is>
      </c>
      <c r="J323" s="35" t="n"/>
      <c r="K323" s="33" t="n"/>
      <c r="L323" s="35">
        <f>COUNTIFS($A$2:$A$1501,A323,$D$2:$D$1501,D323)</f>
        <v/>
      </c>
    </row>
    <row r="324" ht="23.85" customHeight="1" s="26">
      <c r="A324" s="35" t="n">
        <v>65</v>
      </c>
      <c r="B324" s="41" t="n">
        <v>46364</v>
      </c>
      <c r="C324" s="35" t="n">
        <v>3</v>
      </c>
      <c r="D324" s="33" t="inlineStr">
        <is>
          <t>Buildings and Engineering</t>
        </is>
      </c>
      <c r="E324" s="36" t="inlineStr">
        <is>
          <t>How many rooms does Buckingham Palace have?</t>
        </is>
      </c>
      <c r="F324" s="42" t="n">
        <v>775</v>
      </c>
      <c r="G324" s="33" t="inlineStr">
        <is>
          <t>rooms</t>
        </is>
      </c>
      <c r="H324" s="35" t="inlineStr">
        <is>
          <t>Medium</t>
        </is>
      </c>
      <c r="I324" s="33" t="inlineStr">
        <is>
          <t>Royal Collection Trust</t>
        </is>
      </c>
      <c r="J324" s="35" t="n"/>
      <c r="K324" s="33" t="n"/>
      <c r="L324" s="35">
        <f>COUNTIFS($A$2:$A$1501,A324,$D$2:$D$1501,D324)</f>
        <v/>
      </c>
    </row>
    <row r="325" ht="23.85" customHeight="1" s="26">
      <c r="A325" s="35" t="n">
        <v>65</v>
      </c>
      <c r="B325" s="41" t="n">
        <v>46364</v>
      </c>
      <c r="C325" s="35" t="n">
        <v>4</v>
      </c>
      <c r="D325" s="33" t="inlineStr">
        <is>
          <t>Movies, Music and Games</t>
        </is>
      </c>
      <c r="E325" s="36" t="inlineStr">
        <is>
          <t>How many oil paintings did Vincent van Gogh create?</t>
        </is>
      </c>
      <c r="F325" s="42" t="n">
        <v>860</v>
      </c>
      <c r="G325" s="33" t="inlineStr">
        <is>
          <t>paintings</t>
        </is>
      </c>
      <c r="H325" s="35" t="inlineStr">
        <is>
          <t>Hard</t>
        </is>
      </c>
      <c r="I325" s="33" t="inlineStr">
        <is>
          <t>Van Gogh Museum</t>
        </is>
      </c>
      <c r="J325" s="35" t="n"/>
      <c r="K325" s="33" t="n"/>
      <c r="L325" s="35">
        <f>COUNTIFS($A$2:$A$1501,A325,$D$2:$D$1501,D325)</f>
        <v/>
      </c>
    </row>
    <row r="326" ht="23.85" customHeight="1" s="26">
      <c r="A326" s="35" t="n">
        <v>65</v>
      </c>
      <c r="B326" s="41" t="n">
        <v>46364</v>
      </c>
      <c r="C326" s="35" t="n">
        <v>5</v>
      </c>
      <c r="D326" s="33" t="inlineStr">
        <is>
          <t>Distance of the Day</t>
        </is>
      </c>
      <c r="E326" s="36" t="inlineStr">
        <is>
          <t>How far is it in a straight line from Edmonton to Beijing?</t>
        </is>
      </c>
      <c r="F326" s="42" t="n">
        <v>8580</v>
      </c>
      <c r="G326" s="33" t="inlineStr">
        <is>
          <t>km</t>
        </is>
      </c>
      <c r="H326" s="35" t="inlineStr">
        <is>
          <t>Hard</t>
        </is>
      </c>
      <c r="I326" s="33" t="inlineStr">
        <is>
          <t>Computed great-circle distance (city centre to city centre)</t>
        </is>
      </c>
      <c r="J326" s="35" t="n"/>
      <c r="K326" s="33" t="n"/>
      <c r="L326" s="35">
        <f>COUNTIFS($A$2:$A$1501,A326,$D$2:$D$1501,D326)</f>
        <v/>
      </c>
    </row>
    <row r="327" ht="23.85" customHeight="1" s="26">
      <c r="A327" s="43" t="n">
        <v>66</v>
      </c>
      <c r="B327" s="44" t="n">
        <v>46365</v>
      </c>
      <c r="C327" s="43" t="n">
        <v>1</v>
      </c>
      <c r="D327" s="45" t="inlineStr">
        <is>
          <t>Animals and Nature</t>
        </is>
      </c>
      <c r="E327" s="46" t="inlineStr">
        <is>
          <t>How far can a monarch butterfly migrate?</t>
        </is>
      </c>
      <c r="F327" s="47" t="n">
        <v>4800</v>
      </c>
      <c r="G327" s="45" t="inlineStr">
        <is>
          <t>km</t>
        </is>
      </c>
      <c r="H327" s="43" t="inlineStr">
        <is>
          <t>Medium</t>
        </is>
      </c>
      <c r="I327" s="45" t="inlineStr">
        <is>
          <t>Britannica / National Geographic / Guinness World Records</t>
        </is>
      </c>
      <c r="J327" s="43" t="n"/>
      <c r="K327" s="45" t="n"/>
      <c r="L327" s="43">
        <f>COUNTIFS($A$2:$A$1501,A327,$D$2:$D$1501,D327)</f>
        <v/>
      </c>
    </row>
    <row r="328" ht="23.85" customHeight="1" s="26">
      <c r="A328" s="43" t="n">
        <v>66</v>
      </c>
      <c r="B328" s="44" t="n">
        <v>46365</v>
      </c>
      <c r="C328" s="43" t="n">
        <v>2</v>
      </c>
      <c r="D328" s="45" t="inlineStr">
        <is>
          <t>Human Body</t>
        </is>
      </c>
      <c r="E328" s="46" t="inlineStr">
        <is>
          <t>How many colours can the human eye tell apart?</t>
        </is>
      </c>
      <c r="F328" s="47" t="n">
        <v>1000000</v>
      </c>
      <c r="G328" s="45" t="inlineStr">
        <is>
          <t>colours</t>
        </is>
      </c>
      <c r="H328" s="43" t="inlineStr">
        <is>
          <t>Medium</t>
        </is>
      </c>
      <c r="I328" s="45" t="inlineStr">
        <is>
          <t>Cleveland Clinic / NIH / Guinness World Records</t>
        </is>
      </c>
      <c r="J328" s="43" t="n"/>
      <c r="K328" s="45" t="n"/>
      <c r="L328" s="43">
        <f>COUNTIFS($A$2:$A$1501,A328,$D$2:$D$1501,D328)</f>
        <v/>
      </c>
    </row>
    <row r="329" ht="23.85" customHeight="1" s="26">
      <c r="A329" s="43" t="n">
        <v>66</v>
      </c>
      <c r="B329" s="44" t="n">
        <v>46365</v>
      </c>
      <c r="C329" s="43" t="n">
        <v>3</v>
      </c>
      <c r="D329" s="45" t="inlineStr">
        <is>
          <t>Food and Everyday Life</t>
        </is>
      </c>
      <c r="E329" s="46" t="inlineStr">
        <is>
          <t>How many kernels are on an average ear of corn?</t>
        </is>
      </c>
      <c r="F329" s="47" t="n">
        <v>800</v>
      </c>
      <c r="G329" s="45" t="inlineStr">
        <is>
          <t>kernels</t>
        </is>
      </c>
      <c r="H329" s="43" t="inlineStr">
        <is>
          <t>Medium</t>
        </is>
      </c>
      <c r="I329" s="45" t="inlineStr">
        <is>
          <t>Food industry bodies / USDA / Water Footprint Network</t>
        </is>
      </c>
      <c r="J329" s="43" t="n"/>
      <c r="K329" s="45" t="n"/>
      <c r="L329" s="43">
        <f>COUNTIFS($A$2:$A$1501,A329,$D$2:$D$1501,D329)</f>
        <v/>
      </c>
    </row>
    <row r="330" ht="23.85" customHeight="1" s="26">
      <c r="A330" s="43" t="n">
        <v>66</v>
      </c>
      <c r="B330" s="44" t="n">
        <v>46365</v>
      </c>
      <c r="C330" s="43" t="n">
        <v>4</v>
      </c>
      <c r="D330" s="45" t="inlineStr">
        <is>
          <t>History</t>
        </is>
      </c>
      <c r="E330" s="46" t="inlineStr">
        <is>
          <t>How many clauses were in the original Magna Carta of 1215?</t>
        </is>
      </c>
      <c r="F330" s="47" t="n">
        <v>63</v>
      </c>
      <c r="G330" s="45" t="inlineStr">
        <is>
          <t>clauses</t>
        </is>
      </c>
      <c r="H330" s="43" t="inlineStr">
        <is>
          <t>Hard</t>
        </is>
      </c>
      <c r="I330" s="45" t="inlineStr">
        <is>
          <t>British Library</t>
        </is>
      </c>
      <c r="J330" s="43" t="n"/>
      <c r="K330" s="45" t="n"/>
      <c r="L330" s="43">
        <f>COUNTIFS($A$2:$A$1501,A330,$D$2:$D$1501,D330)</f>
        <v/>
      </c>
    </row>
    <row r="331" ht="23.85" customHeight="1" s="26">
      <c r="A331" s="43" t="n">
        <v>66</v>
      </c>
      <c r="B331" s="44" t="n">
        <v>46365</v>
      </c>
      <c r="C331" s="43" t="n">
        <v>5</v>
      </c>
      <c r="D331" s="45" t="inlineStr">
        <is>
          <t>Distance of the Day</t>
        </is>
      </c>
      <c r="E331" s="46" t="inlineStr">
        <is>
          <t>How far is it in a straight line from Nairobi to Dubai?</t>
        </is>
      </c>
      <c r="F331" s="47" t="n">
        <v>3550</v>
      </c>
      <c r="G331" s="45" t="inlineStr">
        <is>
          <t>km</t>
        </is>
      </c>
      <c r="H331" s="43" t="inlineStr">
        <is>
          <t>Medium</t>
        </is>
      </c>
      <c r="I331" s="45" t="inlineStr">
        <is>
          <t>Computed great-circle distance (city centre to city centre)</t>
        </is>
      </c>
      <c r="J331" s="43" t="n"/>
      <c r="K331" s="45" t="n"/>
      <c r="L331" s="43">
        <f>COUNTIFS($A$2:$A$1501,A331,$D$2:$D$1501,D331)</f>
        <v/>
      </c>
    </row>
    <row r="332" ht="23.85" customHeight="1" s="26">
      <c r="A332" s="35" t="n">
        <v>67</v>
      </c>
      <c r="B332" s="41" t="n">
        <v>46366</v>
      </c>
      <c r="C332" s="35" t="n">
        <v>1</v>
      </c>
      <c r="D332" s="33" t="inlineStr">
        <is>
          <t>Buildings and Engineering</t>
        </is>
      </c>
      <c r="E332" s="36" t="inlineStr">
        <is>
          <t>How tall is the Eiffel Tower?</t>
        </is>
      </c>
      <c r="F332" s="42" t="n">
        <v>330</v>
      </c>
      <c r="G332" s="33" t="inlineStr">
        <is>
          <t>metres</t>
        </is>
      </c>
      <c r="H332" s="35" t="inlineStr">
        <is>
          <t>Medium</t>
        </is>
      </c>
      <c r="I332" s="33" t="inlineStr">
        <is>
          <t>Société d'Exploitation de la Tour Eiffel</t>
        </is>
      </c>
      <c r="J332" s="35" t="n"/>
      <c r="K332" s="33" t="n"/>
      <c r="L332" s="35">
        <f>COUNTIFS($A$2:$A$1501,A332,$D$2:$D$1501,D332)</f>
        <v/>
      </c>
    </row>
    <row r="333" ht="23.85" customHeight="1" s="26">
      <c r="A333" s="35" t="n">
        <v>67</v>
      </c>
      <c r="B333" s="41" t="n">
        <v>46366</v>
      </c>
      <c r="C333" s="35" t="n">
        <v>2</v>
      </c>
      <c r="D333" s="33" t="inlineStr">
        <is>
          <t>Sports</t>
        </is>
      </c>
      <c r="E333" s="36" t="inlineStr">
        <is>
          <t>How long is an NHL rink?</t>
        </is>
      </c>
      <c r="F333" s="42" t="n">
        <v>200</v>
      </c>
      <c r="G333" s="33" t="inlineStr">
        <is>
          <t>feet</t>
        </is>
      </c>
      <c r="H333" s="35" t="inlineStr">
        <is>
          <t>Medium</t>
        </is>
      </c>
      <c r="I333" s="33" t="inlineStr">
        <is>
          <t>NHL Rulebook</t>
        </is>
      </c>
      <c r="J333" s="35" t="n"/>
      <c r="K333" s="33" t="n"/>
      <c r="L333" s="35">
        <f>COUNTIFS($A$2:$A$1501,A333,$D$2:$D$1501,D333)</f>
        <v/>
      </c>
    </row>
    <row r="334" ht="23.85" customHeight="1" s="26">
      <c r="A334" s="35" t="n">
        <v>67</v>
      </c>
      <c r="B334" s="41" t="n">
        <v>46366</v>
      </c>
      <c r="C334" s="35" t="n">
        <v>3</v>
      </c>
      <c r="D334" s="33" t="inlineStr">
        <is>
          <t>Movies, Music and Games</t>
        </is>
      </c>
      <c r="E334" s="36" t="inlineStr">
        <is>
          <t>How many stickers are on a standard 3x3 Rubik's Cube?</t>
        </is>
      </c>
      <c r="F334" s="42" t="n">
        <v>54</v>
      </c>
      <c r="G334" s="33" t="inlineStr">
        <is>
          <t>stickers</t>
        </is>
      </c>
      <c r="H334" s="35" t="inlineStr">
        <is>
          <t>Medium</t>
        </is>
      </c>
      <c r="I334" s="33" t="inlineStr">
        <is>
          <t>IMDb / official records / Guinness World Records</t>
        </is>
      </c>
      <c r="J334" s="35" t="n"/>
      <c r="K334" s="33" t="n"/>
      <c r="L334" s="35">
        <f>COUNTIFS($A$2:$A$1501,A334,$D$2:$D$1501,D334)</f>
        <v/>
      </c>
    </row>
    <row r="335" ht="23.85" customHeight="1" s="26">
      <c r="A335" s="35" t="n">
        <v>67</v>
      </c>
      <c r="B335" s="41" t="n">
        <v>46366</v>
      </c>
      <c r="C335" s="35" t="n">
        <v>4</v>
      </c>
      <c r="D335" s="33" t="inlineStr">
        <is>
          <t>Geography</t>
        </is>
      </c>
      <c r="E335" s="36" t="inlineStr">
        <is>
          <t>How big is Antarctica?</t>
        </is>
      </c>
      <c r="F335" s="42" t="n">
        <v>14200000</v>
      </c>
      <c r="G335" s="33" t="inlineStr">
        <is>
          <t>km²</t>
        </is>
      </c>
      <c r="H335" s="35" t="inlineStr">
        <is>
          <t>Hard</t>
        </is>
      </c>
      <c r="I335" s="33" t="inlineStr">
        <is>
          <t>Britannica / national survey agencies</t>
        </is>
      </c>
      <c r="J335" s="35" t="n"/>
      <c r="K335" s="33" t="n"/>
      <c r="L335" s="35">
        <f>COUNTIFS($A$2:$A$1501,A335,$D$2:$D$1501,D335)</f>
        <v/>
      </c>
    </row>
    <row r="336" ht="23.85" customHeight="1" s="26">
      <c r="A336" s="35" t="n">
        <v>67</v>
      </c>
      <c r="B336" s="41" t="n">
        <v>46366</v>
      </c>
      <c r="C336" s="35" t="n">
        <v>5</v>
      </c>
      <c r="D336" s="33" t="inlineStr">
        <is>
          <t>Distance of the Day</t>
        </is>
      </c>
      <c r="E336" s="36" t="inlineStr">
        <is>
          <t>How far is it in a straight line from Ottawa to Whitehorse?</t>
        </is>
      </c>
      <c r="F336" s="42" t="n">
        <v>4140</v>
      </c>
      <c r="G336" s="33" t="inlineStr">
        <is>
          <t>km</t>
        </is>
      </c>
      <c r="H336" s="35" t="inlineStr">
        <is>
          <t>Medium</t>
        </is>
      </c>
      <c r="I336" s="33" t="inlineStr">
        <is>
          <t>Computed great-circle distance (city centre to city centre)</t>
        </is>
      </c>
      <c r="J336" s="35" t="n"/>
      <c r="K336" s="33" t="n"/>
      <c r="L336" s="35">
        <f>COUNTIFS($A$2:$A$1501,A336,$D$2:$D$1501,D336)</f>
        <v/>
      </c>
    </row>
    <row r="337" ht="23.85" customHeight="1" s="26">
      <c r="A337" s="43" t="n">
        <v>68</v>
      </c>
      <c r="B337" s="44" t="n">
        <v>46367</v>
      </c>
      <c r="C337" s="43" t="n">
        <v>1</v>
      </c>
      <c r="D337" s="45" t="inlineStr">
        <is>
          <t>Canada</t>
        </is>
      </c>
      <c r="E337" s="46" t="inlineStr">
        <is>
          <t>How many Stanley Cups have the Toronto Maple Leafs won?</t>
        </is>
      </c>
      <c r="F337" s="47" t="n">
        <v>13</v>
      </c>
      <c r="G337" s="45" t="inlineStr">
        <is>
          <t>Stanley Cups</t>
        </is>
      </c>
      <c r="H337" s="43" t="inlineStr">
        <is>
          <t>Easy</t>
        </is>
      </c>
      <c r="I337" s="45" t="inlineStr">
        <is>
          <t>NHL Records</t>
        </is>
      </c>
      <c r="J337" s="43" t="n"/>
      <c r="K337" s="45" t="n"/>
      <c r="L337" s="43">
        <f>COUNTIFS($A$2:$A$1501,A337,$D$2:$D$1501,D337)</f>
        <v/>
      </c>
    </row>
    <row r="338" ht="23.85" customHeight="1" s="26">
      <c r="A338" s="43" t="n">
        <v>68</v>
      </c>
      <c r="B338" s="44" t="n">
        <v>46367</v>
      </c>
      <c r="C338" s="43" t="n">
        <v>2</v>
      </c>
      <c r="D338" s="45" t="inlineStr">
        <is>
          <t>Space and Science</t>
        </is>
      </c>
      <c r="E338" s="46" t="inlineStr">
        <is>
          <t>How far is the Sun from Earth, on average?</t>
        </is>
      </c>
      <c r="F338" s="47" t="n">
        <v>149.6</v>
      </c>
      <c r="G338" s="45" t="inlineStr">
        <is>
          <t>million km</t>
        </is>
      </c>
      <c r="H338" s="43" t="inlineStr">
        <is>
          <t>Medium</t>
        </is>
      </c>
      <c r="I338" s="45" t="inlineStr">
        <is>
          <t>NASA</t>
        </is>
      </c>
      <c r="J338" s="43" t="n"/>
      <c r="K338" s="45" t="n"/>
      <c r="L338" s="43">
        <f>COUNTIFS($A$2:$A$1501,A338,$D$2:$D$1501,D338)</f>
        <v/>
      </c>
    </row>
    <row r="339" ht="23.85" customHeight="1" s="26">
      <c r="A339" s="43" t="n">
        <v>68</v>
      </c>
      <c r="B339" s="44" t="n">
        <v>46367</v>
      </c>
      <c r="C339" s="43" t="n">
        <v>3</v>
      </c>
      <c r="D339" s="45" t="inlineStr">
        <is>
          <t>Food and Everyday Life</t>
        </is>
      </c>
      <c r="E339" s="46" t="inlineStr">
        <is>
          <t>How many seeds are on the outside of an average strawberry?</t>
        </is>
      </c>
      <c r="F339" s="47" t="n">
        <v>200</v>
      </c>
      <c r="G339" s="45" t="inlineStr">
        <is>
          <t>seeds</t>
        </is>
      </c>
      <c r="H339" s="43" t="inlineStr">
        <is>
          <t>Medium</t>
        </is>
      </c>
      <c r="I339" s="45" t="inlineStr">
        <is>
          <t>Food industry bodies / USDA / Water Footprint Network</t>
        </is>
      </c>
      <c r="J339" s="43" t="n"/>
      <c r="K339" s="45" t="n"/>
      <c r="L339" s="43">
        <f>COUNTIFS($A$2:$A$1501,A339,$D$2:$D$1501,D339)</f>
        <v/>
      </c>
    </row>
    <row r="340" ht="23.85" customHeight="1" s="26">
      <c r="A340" s="43" t="n">
        <v>68</v>
      </c>
      <c r="B340" s="44" t="n">
        <v>46367</v>
      </c>
      <c r="C340" s="43" t="n">
        <v>4</v>
      </c>
      <c r="D340" s="45" t="inlineStr">
        <is>
          <t>History</t>
        </is>
      </c>
      <c r="E340" s="46" t="inlineStr">
        <is>
          <t>How many passengers sailed on the Mayflower?</t>
        </is>
      </c>
      <c r="F340" s="47" t="n">
        <v>102</v>
      </c>
      <c r="G340" s="45" t="inlineStr">
        <is>
          <t>passengers</t>
        </is>
      </c>
      <c r="H340" s="43" t="inlineStr">
        <is>
          <t>Medium</t>
        </is>
      </c>
      <c r="I340" s="45" t="inlineStr">
        <is>
          <t>Britannica / national archives</t>
        </is>
      </c>
      <c r="J340" s="43" t="n"/>
      <c r="K340" s="45" t="n"/>
      <c r="L340" s="43">
        <f>COUNTIFS($A$2:$A$1501,A340,$D$2:$D$1501,D340)</f>
        <v/>
      </c>
    </row>
    <row r="341" ht="23.85" customHeight="1" s="26">
      <c r="A341" s="43" t="n">
        <v>68</v>
      </c>
      <c r="B341" s="44" t="n">
        <v>46367</v>
      </c>
      <c r="C341" s="43" t="n">
        <v>5</v>
      </c>
      <c r="D341" s="45" t="inlineStr">
        <is>
          <t>Distance of the Day</t>
        </is>
      </c>
      <c r="E341" s="46" t="inlineStr">
        <is>
          <t>How far is it in a straight line from Paris to Delhi?</t>
        </is>
      </c>
      <c r="F341" s="47" t="n">
        <v>6590</v>
      </c>
      <c r="G341" s="45" t="inlineStr">
        <is>
          <t>km</t>
        </is>
      </c>
      <c r="H341" s="43" t="inlineStr">
        <is>
          <t>Medium</t>
        </is>
      </c>
      <c r="I341" s="45" t="inlineStr">
        <is>
          <t>Computed great-circle distance (city centre to city centre)</t>
        </is>
      </c>
      <c r="J341" s="43" t="n"/>
      <c r="K341" s="45" t="n"/>
      <c r="L341" s="43">
        <f>COUNTIFS($A$2:$A$1501,A341,$D$2:$D$1501,D341)</f>
        <v/>
      </c>
    </row>
    <row r="342" ht="23.85" customHeight="1" s="26">
      <c r="A342" s="35" t="n">
        <v>69</v>
      </c>
      <c r="B342" s="41" t="n">
        <v>46368</v>
      </c>
      <c r="C342" s="35" t="n">
        <v>1</v>
      </c>
      <c r="D342" s="33" t="inlineStr">
        <is>
          <t>Sports</t>
        </is>
      </c>
      <c r="E342" s="36" t="inlineStr">
        <is>
          <t>How far apart are the bases in MLB?</t>
        </is>
      </c>
      <c r="F342" s="42" t="n">
        <v>90</v>
      </c>
      <c r="G342" s="33" t="inlineStr">
        <is>
          <t>feet</t>
        </is>
      </c>
      <c r="H342" s="35" t="inlineStr">
        <is>
          <t>Easy</t>
        </is>
      </c>
      <c r="I342" s="33" t="inlineStr">
        <is>
          <t>MLB Official Rules</t>
        </is>
      </c>
      <c r="J342" s="35" t="n"/>
      <c r="K342" s="33" t="n"/>
      <c r="L342" s="35">
        <f>COUNTIFS($A$2:$A$1501,A342,$D$2:$D$1501,D342)</f>
        <v/>
      </c>
    </row>
    <row r="343" ht="23.85" customHeight="1" s="26">
      <c r="A343" s="35" t="n">
        <v>69</v>
      </c>
      <c r="B343" s="41" t="n">
        <v>46368</v>
      </c>
      <c r="C343" s="35" t="n">
        <v>2</v>
      </c>
      <c r="D343" s="33" t="inlineStr">
        <is>
          <t>Movies, Music and Games</t>
        </is>
      </c>
      <c r="E343" s="36" t="inlineStr">
        <is>
          <t>How long is Inception?</t>
        </is>
      </c>
      <c r="F343" s="42" t="n">
        <v>148</v>
      </c>
      <c r="G343" s="33" t="inlineStr">
        <is>
          <t>minutes</t>
        </is>
      </c>
      <c r="H343" s="35" t="inlineStr">
        <is>
          <t>Medium</t>
        </is>
      </c>
      <c r="I343" s="33" t="inlineStr">
        <is>
          <t>IMDb</t>
        </is>
      </c>
      <c r="J343" s="35" t="n"/>
      <c r="K343" s="33" t="n"/>
      <c r="L343" s="35">
        <f>COUNTIFS($A$2:$A$1501,A343,$D$2:$D$1501,D343)</f>
        <v/>
      </c>
    </row>
    <row r="344" ht="23.85" customHeight="1" s="26">
      <c r="A344" s="35" t="n">
        <v>69</v>
      </c>
      <c r="B344" s="41" t="n">
        <v>46368</v>
      </c>
      <c r="C344" s="35" t="n">
        <v>3</v>
      </c>
      <c r="D344" s="33" t="inlineStr">
        <is>
          <t>Geography</t>
        </is>
      </c>
      <c r="E344" s="36" t="inlineStr">
        <is>
          <t>How big is the state of Texas?</t>
        </is>
      </c>
      <c r="F344" s="42" t="n">
        <v>695662</v>
      </c>
      <c r="G344" s="33" t="inlineStr">
        <is>
          <t>km²</t>
        </is>
      </c>
      <c r="H344" s="35" t="inlineStr">
        <is>
          <t>Hard</t>
        </is>
      </c>
      <c r="I344" s="33" t="inlineStr">
        <is>
          <t>US Census Bureau</t>
        </is>
      </c>
      <c r="J344" s="35" t="n"/>
      <c r="K344" s="33" t="n"/>
      <c r="L344" s="35">
        <f>COUNTIFS($A$2:$A$1501,A344,$D$2:$D$1501,D344)</f>
        <v/>
      </c>
    </row>
    <row r="345" ht="23.85" customHeight="1" s="26">
      <c r="A345" s="35" t="n">
        <v>69</v>
      </c>
      <c r="B345" s="41" t="n">
        <v>46368</v>
      </c>
      <c r="C345" s="35" t="n">
        <v>4</v>
      </c>
      <c r="D345" s="33" t="inlineStr">
        <is>
          <t>Buildings and Engineering</t>
        </is>
      </c>
      <c r="E345" s="36" t="inlineStr">
        <is>
          <t>How long is the main span of Turkey's 1915 Çanakkale Bridge, the longest suspension span in the world?</t>
        </is>
      </c>
      <c r="F345" s="42" t="n">
        <v>2023</v>
      </c>
      <c r="G345" s="33" t="inlineStr">
        <is>
          <t>metres</t>
        </is>
      </c>
      <c r="H345" s="35" t="inlineStr">
        <is>
          <t>Hard</t>
        </is>
      </c>
      <c r="I345" s="33" t="inlineStr">
        <is>
          <t>Official operator sites / CTBUH / Britannica</t>
        </is>
      </c>
      <c r="J345" s="35" t="n"/>
      <c r="K345" s="33" t="n"/>
      <c r="L345" s="35">
        <f>COUNTIFS($A$2:$A$1501,A345,$D$2:$D$1501,D345)</f>
        <v/>
      </c>
    </row>
    <row r="346" ht="23.85" customHeight="1" s="26">
      <c r="A346" s="35" t="n">
        <v>69</v>
      </c>
      <c r="B346" s="41" t="n">
        <v>46368</v>
      </c>
      <c r="C346" s="35" t="n">
        <v>5</v>
      </c>
      <c r="D346" s="33" t="inlineStr">
        <is>
          <t>Distance of the Day</t>
        </is>
      </c>
      <c r="E346" s="36" t="inlineStr">
        <is>
          <t>How far is it in a straight line from Whitehorse to Dubai?</t>
        </is>
      </c>
      <c r="F346" s="42" t="n">
        <v>10410</v>
      </c>
      <c r="G346" s="33" t="inlineStr">
        <is>
          <t>km</t>
        </is>
      </c>
      <c r="H346" s="35" t="inlineStr">
        <is>
          <t>Hard</t>
        </is>
      </c>
      <c r="I346" s="33" t="inlineStr">
        <is>
          <t>Computed great-circle distance (city centre to city centre)</t>
        </is>
      </c>
      <c r="J346" s="35" t="n"/>
      <c r="K346" s="33" t="n"/>
      <c r="L346" s="35">
        <f>COUNTIFS($A$2:$A$1501,A346,$D$2:$D$1501,D346)</f>
        <v/>
      </c>
    </row>
    <row r="347" ht="23.85" customHeight="1" s="26">
      <c r="A347" s="43" t="n">
        <v>70</v>
      </c>
      <c r="B347" s="44" t="n">
        <v>46369</v>
      </c>
      <c r="C347" s="43" t="n">
        <v>1</v>
      </c>
      <c r="D347" s="45" t="inlineStr">
        <is>
          <t>Human Body</t>
        </is>
      </c>
      <c r="E347" s="46" t="inlineStr">
        <is>
          <t>How many bones is a newborn baby born with, roughly?</t>
        </is>
      </c>
      <c r="F347" s="47" t="n">
        <v>300</v>
      </c>
      <c r="G347" s="45" t="inlineStr">
        <is>
          <t>bones</t>
        </is>
      </c>
      <c r="H347" s="43" t="inlineStr">
        <is>
          <t>Medium</t>
        </is>
      </c>
      <c r="I347" s="45" t="inlineStr">
        <is>
          <t>Cleveland Clinic / NIH / Guinness World Records</t>
        </is>
      </c>
      <c r="J347" s="43" t="n"/>
      <c r="K347" s="45" t="n"/>
      <c r="L347" s="43">
        <f>COUNTIFS($A$2:$A$1501,A347,$D$2:$D$1501,D347)</f>
        <v/>
      </c>
    </row>
    <row r="348" ht="23.85" customHeight="1" s="26">
      <c r="A348" s="43" t="n">
        <v>70</v>
      </c>
      <c r="B348" s="44" t="n">
        <v>46369</v>
      </c>
      <c r="C348" s="43" t="n">
        <v>2</v>
      </c>
      <c r="D348" s="45" t="inlineStr">
        <is>
          <t>Canada</t>
        </is>
      </c>
      <c r="E348" s="46" t="inlineStr">
        <is>
          <t>How high can the tides get in the Bay of Fundy?</t>
        </is>
      </c>
      <c r="F348" s="47" t="n">
        <v>16</v>
      </c>
      <c r="G348" s="45" t="inlineStr">
        <is>
          <t>metres</t>
        </is>
      </c>
      <c r="H348" s="43" t="inlineStr">
        <is>
          <t>Medium</t>
        </is>
      </c>
      <c r="I348" s="45" t="inlineStr">
        <is>
          <t>Natural Resources Canada / Statistics Canada / Parks Canada</t>
        </is>
      </c>
      <c r="J348" s="43" t="n"/>
      <c r="K348" s="45" t="n"/>
      <c r="L348" s="43">
        <f>COUNTIFS($A$2:$A$1501,A348,$D$2:$D$1501,D348)</f>
        <v/>
      </c>
    </row>
    <row r="349" ht="23.85" customHeight="1" s="26">
      <c r="A349" s="43" t="n">
        <v>70</v>
      </c>
      <c r="B349" s="44" t="n">
        <v>46369</v>
      </c>
      <c r="C349" s="43" t="n">
        <v>3</v>
      </c>
      <c r="D349" s="45" t="inlineStr">
        <is>
          <t>Animals and Nature</t>
        </is>
      </c>
      <c r="E349" s="46" t="inlineStr">
        <is>
          <t>How tall is Hyperion, the world's tallest known tree?</t>
        </is>
      </c>
      <c r="F349" s="47" t="n">
        <v>116</v>
      </c>
      <c r="G349" s="45" t="inlineStr">
        <is>
          <t>metres</t>
        </is>
      </c>
      <c r="H349" s="43" t="inlineStr">
        <is>
          <t>Medium</t>
        </is>
      </c>
      <c r="I349" s="45" t="inlineStr">
        <is>
          <t>Britannica / National Geographic / Guinness World Records</t>
        </is>
      </c>
      <c r="J349" s="43" t="n"/>
      <c r="K349" s="45" t="n"/>
      <c r="L349" s="43">
        <f>COUNTIFS($A$2:$A$1501,A349,$D$2:$D$1501,D349)</f>
        <v/>
      </c>
    </row>
    <row r="350" ht="23.85" customHeight="1" s="26">
      <c r="A350" s="43" t="n">
        <v>70</v>
      </c>
      <c r="B350" s="44" t="n">
        <v>46369</v>
      </c>
      <c r="C350" s="43" t="n">
        <v>4</v>
      </c>
      <c r="D350" s="45" t="inlineStr">
        <is>
          <t>Space and Science</t>
        </is>
      </c>
      <c r="E350" s="46" t="inlineStr">
        <is>
          <t>How fast does Earth travel around the Sun?</t>
        </is>
      </c>
      <c r="F350" s="47" t="n">
        <v>107000</v>
      </c>
      <c r="G350" s="45" t="inlineStr">
        <is>
          <t>km/h</t>
        </is>
      </c>
      <c r="H350" s="43" t="inlineStr">
        <is>
          <t>Hard</t>
        </is>
      </c>
      <c r="I350" s="45" t="inlineStr">
        <is>
          <t>NASA</t>
        </is>
      </c>
      <c r="J350" s="43" t="n"/>
      <c r="K350" s="45" t="n"/>
      <c r="L350" s="43">
        <f>COUNTIFS($A$2:$A$1501,A350,$D$2:$D$1501,D350)</f>
        <v/>
      </c>
    </row>
    <row r="351" ht="23.85" customHeight="1" s="26">
      <c r="A351" s="43" t="n">
        <v>70</v>
      </c>
      <c r="B351" s="44" t="n">
        <v>46369</v>
      </c>
      <c r="C351" s="43" t="n">
        <v>5</v>
      </c>
      <c r="D351" s="45" t="inlineStr">
        <is>
          <t>Distance of the Day</t>
        </is>
      </c>
      <c r="E351" s="46" t="inlineStr">
        <is>
          <t>How far is it in a straight line from Nairobi to Lahore?</t>
        </is>
      </c>
      <c r="F351" s="47" t="n">
        <v>5380</v>
      </c>
      <c r="G351" s="45" t="inlineStr">
        <is>
          <t>km</t>
        </is>
      </c>
      <c r="H351" s="43" t="inlineStr">
        <is>
          <t>Medium</t>
        </is>
      </c>
      <c r="I351" s="45" t="inlineStr">
        <is>
          <t>Computed great-circle distance (city centre to city centre)</t>
        </is>
      </c>
      <c r="J351" s="43" t="n"/>
      <c r="K351" s="45" t="n"/>
      <c r="L351" s="43">
        <f>COUNTIFS($A$2:$A$1501,A351,$D$2:$D$1501,D351)</f>
        <v/>
      </c>
    </row>
    <row r="352" ht="23.85" customHeight="1" s="26">
      <c r="A352" s="35" t="n">
        <v>71</v>
      </c>
      <c r="B352" s="41" t="n">
        <v>46370</v>
      </c>
      <c r="C352" s="35" t="n">
        <v>1</v>
      </c>
      <c r="D352" s="33" t="inlineStr">
        <is>
          <t>Geography</t>
        </is>
      </c>
      <c r="E352" s="36" t="inlineStr">
        <is>
          <t>How deep is the deepest point of the Mariana Trench?</t>
        </is>
      </c>
      <c r="F352" s="42" t="n">
        <v>10935</v>
      </c>
      <c r="G352" s="33" t="inlineStr">
        <is>
          <t>metres</t>
        </is>
      </c>
      <c r="H352" s="35" t="inlineStr">
        <is>
          <t>Medium</t>
        </is>
      </c>
      <c r="I352" s="33" t="inlineStr">
        <is>
          <t>NOAA</t>
        </is>
      </c>
      <c r="J352" s="35" t="n"/>
      <c r="K352" s="33" t="n"/>
      <c r="L352" s="35">
        <f>COUNTIFS($A$2:$A$1501,A352,$D$2:$D$1501,D352)</f>
        <v/>
      </c>
    </row>
    <row r="353" ht="23.85" customHeight="1" s="26">
      <c r="A353" s="35" t="n">
        <v>71</v>
      </c>
      <c r="B353" s="41" t="n">
        <v>46370</v>
      </c>
      <c r="C353" s="35" t="n">
        <v>2</v>
      </c>
      <c r="D353" s="33" t="inlineStr">
        <is>
          <t>Sports</t>
        </is>
      </c>
      <c r="E353" s="36" t="inlineStr">
        <is>
          <t>How many career home runs did Babe Ruth hit?</t>
        </is>
      </c>
      <c r="F353" s="42" t="n">
        <v>714</v>
      </c>
      <c r="G353" s="33" t="inlineStr">
        <is>
          <t>home runs</t>
        </is>
      </c>
      <c r="H353" s="35" t="inlineStr">
        <is>
          <t>Medium</t>
        </is>
      </c>
      <c r="I353" s="33" t="inlineStr">
        <is>
          <t>MLB.com</t>
        </is>
      </c>
      <c r="J353" s="35" t="n"/>
      <c r="K353" s="33" t="n"/>
      <c r="L353" s="35">
        <f>COUNTIFS($A$2:$A$1501,A353,$D$2:$D$1501,D353)</f>
        <v/>
      </c>
    </row>
    <row r="354" ht="23.85" customHeight="1" s="26">
      <c r="A354" s="35" t="n">
        <v>71</v>
      </c>
      <c r="B354" s="41" t="n">
        <v>46370</v>
      </c>
      <c r="C354" s="35" t="n">
        <v>3</v>
      </c>
      <c r="D354" s="33" t="inlineStr">
        <is>
          <t>Movies, Music and Games</t>
        </is>
      </c>
      <c r="E354" s="36" t="inlineStr">
        <is>
          <t>How many official James Bond films have been made by Eon Productions?</t>
        </is>
      </c>
      <c r="F354" s="42" t="n">
        <v>25</v>
      </c>
      <c r="G354" s="33" t="inlineStr">
        <is>
          <t>films</t>
        </is>
      </c>
      <c r="H354" s="35" t="inlineStr">
        <is>
          <t>Medium</t>
        </is>
      </c>
      <c r="I354" s="33" t="inlineStr">
        <is>
          <t>IMDb / official records / Guinness World Records</t>
        </is>
      </c>
      <c r="J354" s="35" t="n"/>
      <c r="K354" s="33" t="n"/>
      <c r="L354" s="35">
        <f>COUNTIFS($A$2:$A$1501,A354,$D$2:$D$1501,D354)</f>
        <v/>
      </c>
    </row>
    <row r="355" ht="23.85" customHeight="1" s="26">
      <c r="A355" s="35" t="n">
        <v>71</v>
      </c>
      <c r="B355" s="41" t="n">
        <v>46370</v>
      </c>
      <c r="C355" s="35" t="n">
        <v>4</v>
      </c>
      <c r="D355" s="33" t="inlineStr">
        <is>
          <t>Buildings and Engineering</t>
        </is>
      </c>
      <c r="E355" s="36" t="inlineStr">
        <is>
          <t>How many passengers is an Airbus A380 certified to carry?</t>
        </is>
      </c>
      <c r="F355" s="42" t="n">
        <v>853</v>
      </c>
      <c r="G355" s="33" t="inlineStr">
        <is>
          <t>passengers</t>
        </is>
      </c>
      <c r="H355" s="35" t="inlineStr">
        <is>
          <t>Hard</t>
        </is>
      </c>
      <c r="I355" s="33" t="inlineStr">
        <is>
          <t>Airbus</t>
        </is>
      </c>
      <c r="J355" s="35" t="n"/>
      <c r="K355" s="33" t="n"/>
      <c r="L355" s="35">
        <f>COUNTIFS($A$2:$A$1501,A355,$D$2:$D$1501,D355)</f>
        <v/>
      </c>
    </row>
    <row r="356" ht="23.85" customHeight="1" s="26">
      <c r="A356" s="35" t="n">
        <v>71</v>
      </c>
      <c r="B356" s="41" t="n">
        <v>46370</v>
      </c>
      <c r="C356" s="35" t="n">
        <v>5</v>
      </c>
      <c r="D356" s="33" t="inlineStr">
        <is>
          <t>Distance of the Day</t>
        </is>
      </c>
      <c r="E356" s="36" t="inlineStr">
        <is>
          <t>How far is it in a straight line from Winnipeg to Chicago?</t>
        </is>
      </c>
      <c r="F356" s="42" t="n">
        <v>1150</v>
      </c>
      <c r="G356" s="33" t="inlineStr">
        <is>
          <t>km</t>
        </is>
      </c>
      <c r="H356" s="35" t="inlineStr">
        <is>
          <t>Easy</t>
        </is>
      </c>
      <c r="I356" s="33" t="inlineStr">
        <is>
          <t>Computed great-circle distance (city centre to city centre)</t>
        </is>
      </c>
      <c r="J356" s="35" t="n"/>
      <c r="K356" s="33" t="n"/>
      <c r="L356" s="35">
        <f>COUNTIFS($A$2:$A$1501,A356,$D$2:$D$1501,D356)</f>
        <v/>
      </c>
    </row>
    <row r="357" ht="23.85" customHeight="1" s="26">
      <c r="A357" s="43" t="n">
        <v>72</v>
      </c>
      <c r="B357" s="44" t="n">
        <v>46371</v>
      </c>
      <c r="C357" s="43" t="n">
        <v>1</v>
      </c>
      <c r="D357" s="45" t="inlineStr">
        <is>
          <t>Food and Everyday Life</t>
        </is>
      </c>
      <c r="E357" s="46" t="inlineStr">
        <is>
          <t>How much caffeine is in a 250 mL can of Red Bull?</t>
        </is>
      </c>
      <c r="F357" s="47" t="n">
        <v>80</v>
      </c>
      <c r="G357" s="45" t="inlineStr">
        <is>
          <t>mg</t>
        </is>
      </c>
      <c r="H357" s="43" t="inlineStr">
        <is>
          <t>Easy</t>
        </is>
      </c>
      <c r="I357" s="45" t="inlineStr">
        <is>
          <t>Red Bull</t>
        </is>
      </c>
      <c r="J357" s="43" t="n"/>
      <c r="K357" s="45" t="n"/>
      <c r="L357" s="43">
        <f>COUNTIFS($A$2:$A$1501,A357,$D$2:$D$1501,D357)</f>
        <v/>
      </c>
    </row>
    <row r="358" ht="23.85" customHeight="1" s="26">
      <c r="A358" s="43" t="n">
        <v>72</v>
      </c>
      <c r="B358" s="44" t="n">
        <v>46371</v>
      </c>
      <c r="C358" s="43" t="n">
        <v>2</v>
      </c>
      <c r="D358" s="45" t="inlineStr">
        <is>
          <t>Animals and Nature</t>
        </is>
      </c>
      <c r="E358" s="46" t="inlineStr">
        <is>
          <t>What is the wingspan of a wandering albatross?</t>
        </is>
      </c>
      <c r="F358" s="47" t="n">
        <v>3.5</v>
      </c>
      <c r="G358" s="45" t="inlineStr">
        <is>
          <t>metres</t>
        </is>
      </c>
      <c r="H358" s="43" t="inlineStr">
        <is>
          <t>Medium</t>
        </is>
      </c>
      <c r="I358" s="45" t="inlineStr">
        <is>
          <t>Britannica / National Geographic / Guinness World Records</t>
        </is>
      </c>
      <c r="J358" s="43" t="n"/>
      <c r="K358" s="45" t="n"/>
      <c r="L358" s="43">
        <f>COUNTIFS($A$2:$A$1501,A358,$D$2:$D$1501,D358)</f>
        <v/>
      </c>
    </row>
    <row r="359" ht="23.85" customHeight="1" s="26">
      <c r="A359" s="43" t="n">
        <v>72</v>
      </c>
      <c r="B359" s="44" t="n">
        <v>46371</v>
      </c>
      <c r="C359" s="43" t="n">
        <v>3</v>
      </c>
      <c r="D359" s="45" t="inlineStr">
        <is>
          <t>Space and Science</t>
        </is>
      </c>
      <c r="E359" s="46" t="inlineStr">
        <is>
          <t>How far away is Proxima Centauri, the nearest star to the Sun?</t>
        </is>
      </c>
      <c r="F359" s="47" t="n">
        <v>4.24</v>
      </c>
      <c r="G359" s="45" t="inlineStr">
        <is>
          <t>light-years</t>
        </is>
      </c>
      <c r="H359" s="43" t="inlineStr">
        <is>
          <t>Medium</t>
        </is>
      </c>
      <c r="I359" s="45" t="inlineStr">
        <is>
          <t>NASA</t>
        </is>
      </c>
      <c r="J359" s="43" t="n"/>
      <c r="K359" s="45" t="n"/>
      <c r="L359" s="43">
        <f>COUNTIFS($A$2:$A$1501,A359,$D$2:$D$1501,D359)</f>
        <v/>
      </c>
    </row>
    <row r="360" ht="23.85" customHeight="1" s="26">
      <c r="A360" s="43" t="n">
        <v>72</v>
      </c>
      <c r="B360" s="44" t="n">
        <v>46371</v>
      </c>
      <c r="C360" s="43" t="n">
        <v>4</v>
      </c>
      <c r="D360" s="45" t="inlineStr">
        <is>
          <t>History</t>
        </is>
      </c>
      <c r="E360" s="46" t="inlineStr">
        <is>
          <t>How long was the Pony Express route?</t>
        </is>
      </c>
      <c r="F360" s="47" t="n">
        <v>3100</v>
      </c>
      <c r="G360" s="45" t="inlineStr">
        <is>
          <t>km</t>
        </is>
      </c>
      <c r="H360" s="43" t="inlineStr">
        <is>
          <t>Hard</t>
        </is>
      </c>
      <c r="I360" s="45" t="inlineStr">
        <is>
          <t>US National Park Service</t>
        </is>
      </c>
      <c r="J360" s="43" t="n"/>
      <c r="K360" s="45" t="n"/>
      <c r="L360" s="43">
        <f>COUNTIFS($A$2:$A$1501,A360,$D$2:$D$1501,D360)</f>
        <v/>
      </c>
    </row>
    <row r="361" ht="23.85" customHeight="1" s="26">
      <c r="A361" s="43" t="n">
        <v>72</v>
      </c>
      <c r="B361" s="44" t="n">
        <v>46371</v>
      </c>
      <c r="C361" s="43" t="n">
        <v>5</v>
      </c>
      <c r="D361" s="45" t="inlineStr">
        <is>
          <t>Distance of the Day</t>
        </is>
      </c>
      <c r="E361" s="46" t="inlineStr">
        <is>
          <t>How far is it in a straight line from London to Sydney?</t>
        </is>
      </c>
      <c r="F361" s="47" t="n">
        <v>16990</v>
      </c>
      <c r="G361" s="45" t="inlineStr">
        <is>
          <t>km</t>
        </is>
      </c>
      <c r="H361" s="43" t="inlineStr">
        <is>
          <t>Hard</t>
        </is>
      </c>
      <c r="I361" s="45" t="inlineStr">
        <is>
          <t>Computed great-circle distance (city centre to city centre)</t>
        </is>
      </c>
      <c r="J361" s="43" t="n"/>
      <c r="K361" s="45" t="n"/>
      <c r="L361" s="43">
        <f>COUNTIFS($A$2:$A$1501,A361,$D$2:$D$1501,D361)</f>
        <v/>
      </c>
    </row>
    <row r="362" ht="23.85" customHeight="1" s="26">
      <c r="A362" s="35" t="n">
        <v>73</v>
      </c>
      <c r="B362" s="41" t="n">
        <v>46372</v>
      </c>
      <c r="C362" s="35" t="n">
        <v>1</v>
      </c>
      <c r="D362" s="33" t="inlineStr">
        <is>
          <t>Buildings and Engineering</t>
        </is>
      </c>
      <c r="E362" s="36" t="inlineStr">
        <is>
          <t>How long was the Titanic?</t>
        </is>
      </c>
      <c r="F362" s="42" t="n">
        <v>269</v>
      </c>
      <c r="G362" s="33" t="inlineStr">
        <is>
          <t>metres</t>
        </is>
      </c>
      <c r="H362" s="35" t="inlineStr">
        <is>
          <t>Medium</t>
        </is>
      </c>
      <c r="I362" s="33" t="inlineStr">
        <is>
          <t>Official operator sites / CTBUH / Britannica</t>
        </is>
      </c>
      <c r="J362" s="35" t="n"/>
      <c r="K362" s="33" t="n"/>
      <c r="L362" s="35">
        <f>COUNTIFS($A$2:$A$1501,A362,$D$2:$D$1501,D362)</f>
        <v/>
      </c>
    </row>
    <row r="363" ht="23.85" customHeight="1" s="26">
      <c r="A363" s="35" t="n">
        <v>73</v>
      </c>
      <c r="B363" s="41" t="n">
        <v>46372</v>
      </c>
      <c r="C363" s="35" t="n">
        <v>2</v>
      </c>
      <c r="D363" s="33" t="inlineStr">
        <is>
          <t>Geography</t>
        </is>
      </c>
      <c r="E363" s="36" t="inlineStr">
        <is>
          <t>How big is Australia?</t>
        </is>
      </c>
      <c r="F363" s="42" t="n">
        <v>7692024</v>
      </c>
      <c r="G363" s="33" t="inlineStr">
        <is>
          <t>km²</t>
        </is>
      </c>
      <c r="H363" s="35" t="inlineStr">
        <is>
          <t>Hard</t>
        </is>
      </c>
      <c r="I363" s="33" t="inlineStr">
        <is>
          <t>Geoscience Australia</t>
        </is>
      </c>
      <c r="J363" s="35" t="n"/>
      <c r="K363" s="33" t="n"/>
      <c r="L363" s="35">
        <f>COUNTIFS($A$2:$A$1501,A363,$D$2:$D$1501,D363)</f>
        <v/>
      </c>
    </row>
    <row r="364" ht="23.85" customHeight="1" s="26">
      <c r="A364" s="35" t="n">
        <v>73</v>
      </c>
      <c r="B364" s="41" t="n">
        <v>46372</v>
      </c>
      <c r="C364" s="35" t="n">
        <v>3</v>
      </c>
      <c r="D364" s="33" t="inlineStr">
        <is>
          <t>Canada</t>
        </is>
      </c>
      <c r="E364" s="36" t="inlineStr">
        <is>
          <t>How long is Yonge Street in Toronto?</t>
        </is>
      </c>
      <c r="F364" s="42" t="n">
        <v>56</v>
      </c>
      <c r="G364" s="33" t="inlineStr">
        <is>
          <t>km</t>
        </is>
      </c>
      <c r="H364" s="35" t="inlineStr">
        <is>
          <t>Hard</t>
        </is>
      </c>
      <c r="I364" s="33" t="inlineStr">
        <is>
          <t>City of Toronto</t>
        </is>
      </c>
      <c r="J364" s="35" t="n"/>
      <c r="K364" s="33" t="n"/>
      <c r="L364" s="35">
        <f>COUNTIFS($A$2:$A$1501,A364,$D$2:$D$1501,D364)</f>
        <v/>
      </c>
    </row>
    <row r="365" ht="23.85" customHeight="1" s="26">
      <c r="A365" s="35" t="n">
        <v>73</v>
      </c>
      <c r="B365" s="41" t="n">
        <v>46372</v>
      </c>
      <c r="C365" s="35" t="n">
        <v>4</v>
      </c>
      <c r="D365" s="33" t="inlineStr">
        <is>
          <t>Human Body</t>
        </is>
      </c>
      <c r="E365" s="36" t="inlineStr">
        <is>
          <t>How many neurons are in the human brain?</t>
        </is>
      </c>
      <c r="F365" s="42" t="n">
        <v>86</v>
      </c>
      <c r="G365" s="33" t="inlineStr">
        <is>
          <t>billion neurons</t>
        </is>
      </c>
      <c r="H365" s="35" t="inlineStr">
        <is>
          <t>Hard</t>
        </is>
      </c>
      <c r="I365" s="33" t="inlineStr">
        <is>
          <t>Cleveland Clinic / NIH / Guinness World Records</t>
        </is>
      </c>
      <c r="J365" s="35" t="n"/>
      <c r="K365" s="33" t="n"/>
      <c r="L365" s="35">
        <f>COUNTIFS($A$2:$A$1501,A365,$D$2:$D$1501,D365)</f>
        <v/>
      </c>
    </row>
    <row r="366" ht="23.85" customHeight="1" s="26">
      <c r="A366" s="35" t="n">
        <v>73</v>
      </c>
      <c r="B366" s="41" t="n">
        <v>46372</v>
      </c>
      <c r="C366" s="35" t="n">
        <v>5</v>
      </c>
      <c r="D366" s="33" t="inlineStr">
        <is>
          <t>Distance of the Day</t>
        </is>
      </c>
      <c r="E366" s="36" t="inlineStr">
        <is>
          <t>How far is it in a straight line from Toronto to Reykjavik?</t>
        </is>
      </c>
      <c r="F366" s="42" t="n">
        <v>4190</v>
      </c>
      <c r="G366" s="33" t="inlineStr">
        <is>
          <t>km</t>
        </is>
      </c>
      <c r="H366" s="35" t="inlineStr">
        <is>
          <t>Medium</t>
        </is>
      </c>
      <c r="I366" s="33" t="inlineStr">
        <is>
          <t>Computed great-circle distance (city centre to city centre)</t>
        </is>
      </c>
      <c r="J366" s="35" t="n"/>
      <c r="K366" s="33" t="n"/>
      <c r="L366" s="35">
        <f>COUNTIFS($A$2:$A$1501,A366,$D$2:$D$1501,D366)</f>
        <v/>
      </c>
    </row>
    <row r="367" ht="23.85" customHeight="1" s="26">
      <c r="A367" s="43" t="n">
        <v>74</v>
      </c>
      <c r="B367" s="44" t="n">
        <v>46373</v>
      </c>
      <c r="C367" s="43" t="n">
        <v>1</v>
      </c>
      <c r="D367" s="45" t="inlineStr">
        <is>
          <t>Space and Science</t>
        </is>
      </c>
      <c r="E367" s="46" t="inlineStr">
        <is>
          <t>How many Earths could fit inside the Sun?</t>
        </is>
      </c>
      <c r="F367" s="47" t="n">
        <v>1300000</v>
      </c>
      <c r="G367" s="45" t="inlineStr">
        <is>
          <t>Earths</t>
        </is>
      </c>
      <c r="H367" s="43" t="inlineStr">
        <is>
          <t>Medium</t>
        </is>
      </c>
      <c r="I367" s="45" t="inlineStr">
        <is>
          <t>NASA</t>
        </is>
      </c>
      <c r="J367" s="43" t="n"/>
      <c r="K367" s="45" t="n"/>
      <c r="L367" s="43">
        <f>COUNTIFS($A$2:$A$1501,A367,$D$2:$D$1501,D367)</f>
        <v/>
      </c>
    </row>
    <row r="368" ht="23.85" customHeight="1" s="26">
      <c r="A368" s="43" t="n">
        <v>74</v>
      </c>
      <c r="B368" s="44" t="n">
        <v>46373</v>
      </c>
      <c r="C368" s="43" t="n">
        <v>2</v>
      </c>
      <c r="D368" s="45" t="inlineStr">
        <is>
          <t>Sports</t>
        </is>
      </c>
      <c r="E368" s="46" t="inlineStr">
        <is>
          <t>How many rushing yards did Emmitt Smith gain in his NFL career?</t>
        </is>
      </c>
      <c r="F368" s="47" t="n">
        <v>18355</v>
      </c>
      <c r="G368" s="45" t="inlineStr">
        <is>
          <t>yards</t>
        </is>
      </c>
      <c r="H368" s="43" t="inlineStr">
        <is>
          <t>Hard</t>
        </is>
      </c>
      <c r="I368" s="45" t="inlineStr">
        <is>
          <t>Pro Football Hall of Fame</t>
        </is>
      </c>
      <c r="J368" s="43" t="n"/>
      <c r="K368" s="45" t="n"/>
      <c r="L368" s="43">
        <f>COUNTIFS($A$2:$A$1501,A368,$D$2:$D$1501,D368)</f>
        <v/>
      </c>
    </row>
    <row r="369" ht="23.85" customHeight="1" s="26">
      <c r="A369" s="43" t="n">
        <v>74</v>
      </c>
      <c r="B369" s="44" t="n">
        <v>46373</v>
      </c>
      <c r="C369" s="43" t="n">
        <v>3</v>
      </c>
      <c r="D369" s="45" t="inlineStr">
        <is>
          <t>Animals and Nature</t>
        </is>
      </c>
      <c r="E369" s="46" t="inlineStr">
        <is>
          <t>How long can a Greenland shark live?</t>
        </is>
      </c>
      <c r="F369" s="47" t="n">
        <v>400</v>
      </c>
      <c r="G369" s="45" t="inlineStr">
        <is>
          <t>years</t>
        </is>
      </c>
      <c r="H369" s="43" t="inlineStr">
        <is>
          <t>Hard</t>
        </is>
      </c>
      <c r="I369" s="45" t="inlineStr">
        <is>
          <t>Science (2016)</t>
        </is>
      </c>
      <c r="J369" s="43" t="n"/>
      <c r="K369" s="45" t="n"/>
      <c r="L369" s="43">
        <f>COUNTIFS($A$2:$A$1501,A369,$D$2:$D$1501,D369)</f>
        <v/>
      </c>
    </row>
    <row r="370" ht="23.85" customHeight="1" s="26">
      <c r="A370" s="43" t="n">
        <v>74</v>
      </c>
      <c r="B370" s="44" t="n">
        <v>46373</v>
      </c>
      <c r="C370" s="43" t="n">
        <v>4</v>
      </c>
      <c r="D370" s="45" t="inlineStr">
        <is>
          <t>Food and Everyday Life</t>
        </is>
      </c>
      <c r="E370" s="46" t="inlineStr">
        <is>
          <t>How many litres of water does it take to produce 1 kg of beef?</t>
        </is>
      </c>
      <c r="F370" s="47" t="n">
        <v>15400</v>
      </c>
      <c r="G370" s="45" t="inlineStr">
        <is>
          <t>litres</t>
        </is>
      </c>
      <c r="H370" s="43" t="inlineStr">
        <is>
          <t>Hard</t>
        </is>
      </c>
      <c r="I370" s="45" t="inlineStr">
        <is>
          <t>Water Footprint Network</t>
        </is>
      </c>
      <c r="J370" s="43" t="n"/>
      <c r="K370" s="45" t="n"/>
      <c r="L370" s="43">
        <f>COUNTIFS($A$2:$A$1501,A370,$D$2:$D$1501,D370)</f>
        <v/>
      </c>
    </row>
    <row r="371" ht="23.85" customHeight="1" s="26">
      <c r="A371" s="43" t="n">
        <v>74</v>
      </c>
      <c r="B371" s="44" t="n">
        <v>46373</v>
      </c>
      <c r="C371" s="43" t="n">
        <v>5</v>
      </c>
      <c r="D371" s="45" t="inlineStr">
        <is>
          <t>Distance of the Day</t>
        </is>
      </c>
      <c r="E371" s="46" t="inlineStr">
        <is>
          <t>How far is it in a straight line from Anchorage to Mumbai?</t>
        </is>
      </c>
      <c r="F371" s="47" t="n">
        <v>10310</v>
      </c>
      <c r="G371" s="45" t="inlineStr">
        <is>
          <t>km</t>
        </is>
      </c>
      <c r="H371" s="43" t="inlineStr">
        <is>
          <t>Hard</t>
        </is>
      </c>
      <c r="I371" s="45" t="inlineStr">
        <is>
          <t>Computed great-circle distance (city centre to city centre)</t>
        </is>
      </c>
      <c r="J371" s="43" t="n"/>
      <c r="K371" s="45" t="n"/>
      <c r="L371" s="43">
        <f>COUNTIFS($A$2:$A$1501,A371,$D$2:$D$1501,D371)</f>
        <v/>
      </c>
    </row>
    <row r="372" ht="23.85" customHeight="1" s="26">
      <c r="A372" s="35" t="n">
        <v>75</v>
      </c>
      <c r="B372" s="41" t="n">
        <v>46374</v>
      </c>
      <c r="C372" s="35" t="n">
        <v>1</v>
      </c>
      <c r="D372" s="33" t="inlineStr">
        <is>
          <t>Geography</t>
        </is>
      </c>
      <c r="E372" s="36" t="inlineStr">
        <is>
          <t>How tall is Denali in Alaska?</t>
        </is>
      </c>
      <c r="F372" s="42" t="n">
        <v>6190</v>
      </c>
      <c r="G372" s="33" t="inlineStr">
        <is>
          <t>metres</t>
        </is>
      </c>
      <c r="H372" s="35" t="inlineStr">
        <is>
          <t>Medium</t>
        </is>
      </c>
      <c r="I372" s="33" t="inlineStr">
        <is>
          <t>USGS</t>
        </is>
      </c>
      <c r="J372" s="35" t="n"/>
      <c r="K372" s="33" t="n"/>
      <c r="L372" s="35">
        <f>COUNTIFS($A$2:$A$1501,A372,$D$2:$D$1501,D372)</f>
        <v/>
      </c>
    </row>
    <row r="373" ht="23.85" customHeight="1" s="26">
      <c r="A373" s="35" t="n">
        <v>75</v>
      </c>
      <c r="B373" s="41" t="n">
        <v>46374</v>
      </c>
      <c r="C373" s="35" t="n">
        <v>2</v>
      </c>
      <c r="D373" s="33" t="inlineStr">
        <is>
          <t>Movies, Music and Games</t>
        </is>
      </c>
      <c r="E373" s="36" t="inlineStr">
        <is>
          <t>How many tiles come in a standard English Scrabble set?</t>
        </is>
      </c>
      <c r="F373" s="42" t="n">
        <v>100</v>
      </c>
      <c r="G373" s="33" t="inlineStr">
        <is>
          <t>tiles</t>
        </is>
      </c>
      <c r="H373" s="35" t="inlineStr">
        <is>
          <t>Medium</t>
        </is>
      </c>
      <c r="I373" s="33" t="inlineStr">
        <is>
          <t>IMDb / official records / Guinness World Records</t>
        </is>
      </c>
      <c r="J373" s="35" t="n"/>
      <c r="K373" s="33" t="n"/>
      <c r="L373" s="35">
        <f>COUNTIFS($A$2:$A$1501,A373,$D$2:$D$1501,D373)</f>
        <v/>
      </c>
    </row>
    <row r="374" ht="23.85" customHeight="1" s="26">
      <c r="A374" s="35" t="n">
        <v>75</v>
      </c>
      <c r="B374" s="41" t="n">
        <v>46374</v>
      </c>
      <c r="C374" s="35" t="n">
        <v>3</v>
      </c>
      <c r="D374" s="33" t="inlineStr">
        <is>
          <t>Buildings and Engineering</t>
        </is>
      </c>
      <c r="E374" s="36" t="inlineStr">
        <is>
          <t>How tall is the Taj Mahal?</t>
        </is>
      </c>
      <c r="F374" s="42" t="n">
        <v>73</v>
      </c>
      <c r="G374" s="33" t="inlineStr">
        <is>
          <t>metres</t>
        </is>
      </c>
      <c r="H374" s="35" t="inlineStr">
        <is>
          <t>Hard</t>
        </is>
      </c>
      <c r="I374" s="33" t="inlineStr">
        <is>
          <t>Official operator sites / CTBUH / Britannica</t>
        </is>
      </c>
      <c r="J374" s="35" t="n"/>
      <c r="K374" s="33" t="n"/>
      <c r="L374" s="35">
        <f>COUNTIFS($A$2:$A$1501,A374,$D$2:$D$1501,D374)</f>
        <v/>
      </c>
    </row>
    <row r="375" ht="23.85" customHeight="1" s="26">
      <c r="A375" s="35" t="n">
        <v>75</v>
      </c>
      <c r="B375" s="41" t="n">
        <v>46374</v>
      </c>
      <c r="C375" s="35" t="n">
        <v>4</v>
      </c>
      <c r="D375" s="33" t="inlineStr">
        <is>
          <t>Canada</t>
        </is>
      </c>
      <c r="E375" s="36" t="inlineStr">
        <is>
          <t>How big is Nunavut?</t>
        </is>
      </c>
      <c r="F375" s="42" t="n">
        <v>2093190</v>
      </c>
      <c r="G375" s="33" t="inlineStr">
        <is>
          <t>km²</t>
        </is>
      </c>
      <c r="H375" s="35" t="inlineStr">
        <is>
          <t>Hard</t>
        </is>
      </c>
      <c r="I375" s="33" t="inlineStr">
        <is>
          <t>Statistics Canada</t>
        </is>
      </c>
      <c r="J375" s="35" t="n"/>
      <c r="K375" s="33" t="n"/>
      <c r="L375" s="35">
        <f>COUNTIFS($A$2:$A$1501,A375,$D$2:$D$1501,D375)</f>
        <v/>
      </c>
    </row>
    <row r="376" ht="23.85" customHeight="1" s="26">
      <c r="A376" s="35" t="n">
        <v>75</v>
      </c>
      <c r="B376" s="41" t="n">
        <v>46374</v>
      </c>
      <c r="C376" s="35" t="n">
        <v>5</v>
      </c>
      <c r="D376" s="33" t="inlineStr">
        <is>
          <t>Distance of the Day</t>
        </is>
      </c>
      <c r="E376" s="36" t="inlineStr">
        <is>
          <t>How far is it in a straight line from Toronto to Montreal?</t>
        </is>
      </c>
      <c r="F376" s="42" t="n">
        <v>500</v>
      </c>
      <c r="G376" s="33" t="inlineStr">
        <is>
          <t>km</t>
        </is>
      </c>
      <c r="H376" s="35" t="inlineStr">
        <is>
          <t>Easy</t>
        </is>
      </c>
      <c r="I376" s="33" t="inlineStr">
        <is>
          <t>Computed great-circle distance (city centre to city centre)</t>
        </is>
      </c>
      <c r="J376" s="35" t="n"/>
      <c r="K376" s="33" t="n"/>
      <c r="L376" s="35">
        <f>COUNTIFS($A$2:$A$1501,A376,$D$2:$D$1501,D376)</f>
        <v/>
      </c>
    </row>
    <row r="377" ht="23.85" customHeight="1" s="26">
      <c r="A377" s="43" t="n">
        <v>76</v>
      </c>
      <c r="B377" s="44" t="n">
        <v>46375</v>
      </c>
      <c r="C377" s="43" t="n">
        <v>1</v>
      </c>
      <c r="D377" s="45" t="inlineStr">
        <is>
          <t>Sports</t>
        </is>
      </c>
      <c r="E377" s="46" t="inlineStr">
        <is>
          <t>How many career home runs did Barry Bonds hit?</t>
        </is>
      </c>
      <c r="F377" s="47" t="n">
        <v>762</v>
      </c>
      <c r="G377" s="45" t="inlineStr">
        <is>
          <t>home runs</t>
        </is>
      </c>
      <c r="H377" s="43" t="inlineStr">
        <is>
          <t>Medium</t>
        </is>
      </c>
      <c r="I377" s="45" t="inlineStr">
        <is>
          <t>MLB.com</t>
        </is>
      </c>
      <c r="J377" s="43" t="n"/>
      <c r="K377" s="45" t="n"/>
      <c r="L377" s="43">
        <f>COUNTIFS($A$2:$A$1501,A377,$D$2:$D$1501,D377)</f>
        <v/>
      </c>
    </row>
    <row r="378" ht="23.85" customHeight="1" s="26">
      <c r="A378" s="43" t="n">
        <v>76</v>
      </c>
      <c r="B378" s="44" t="n">
        <v>46375</v>
      </c>
      <c r="C378" s="43" t="n">
        <v>2</v>
      </c>
      <c r="D378" s="45" t="inlineStr">
        <is>
          <t>History</t>
        </is>
      </c>
      <c r="E378" s="46" t="inlineStr">
        <is>
          <t>How long was the Berlin Wall?</t>
        </is>
      </c>
      <c r="F378" s="47" t="n">
        <v>155</v>
      </c>
      <c r="G378" s="45" t="inlineStr">
        <is>
          <t>km</t>
        </is>
      </c>
      <c r="H378" s="43" t="inlineStr">
        <is>
          <t>Medium</t>
        </is>
      </c>
      <c r="I378" s="45" t="inlineStr">
        <is>
          <t>Berlin Wall Foundation</t>
        </is>
      </c>
      <c r="J378" s="43" t="n"/>
      <c r="K378" s="45" t="n"/>
      <c r="L378" s="43">
        <f>COUNTIFS($A$2:$A$1501,A378,$D$2:$D$1501,D378)</f>
        <v/>
      </c>
    </row>
    <row r="379" ht="23.85" customHeight="1" s="26">
      <c r="A379" s="43" t="n">
        <v>76</v>
      </c>
      <c r="B379" s="44" t="n">
        <v>46375</v>
      </c>
      <c r="C379" s="43" t="n">
        <v>3</v>
      </c>
      <c r="D379" s="45" t="inlineStr">
        <is>
          <t>Human Body</t>
        </is>
      </c>
      <c r="E379" s="46" t="inlineStr">
        <is>
          <t>How heavy is the average adult human brain?</t>
        </is>
      </c>
      <c r="F379" s="47" t="n">
        <v>1400</v>
      </c>
      <c r="G379" s="45" t="inlineStr">
        <is>
          <t>grams</t>
        </is>
      </c>
      <c r="H379" s="43" t="inlineStr">
        <is>
          <t>Medium</t>
        </is>
      </c>
      <c r="I379" s="45" t="inlineStr">
        <is>
          <t>Cleveland Clinic / NIH / Guinness World Records</t>
        </is>
      </c>
      <c r="J379" s="43" t="n"/>
      <c r="K379" s="45" t="n"/>
      <c r="L379" s="43">
        <f>COUNTIFS($A$2:$A$1501,A379,$D$2:$D$1501,D379)</f>
        <v/>
      </c>
    </row>
    <row r="380" ht="23.85" customHeight="1" s="26">
      <c r="A380" s="43" t="n">
        <v>76</v>
      </c>
      <c r="B380" s="44" t="n">
        <v>46375</v>
      </c>
      <c r="C380" s="43" t="n">
        <v>4</v>
      </c>
      <c r="D380" s="45" t="inlineStr">
        <is>
          <t>Animals and Nature</t>
        </is>
      </c>
      <c r="E380" s="46" t="inlineStr">
        <is>
          <t>How heavy is an ostrich egg?</t>
        </is>
      </c>
      <c r="F380" s="47" t="n">
        <v>1400</v>
      </c>
      <c r="G380" s="45" t="inlineStr">
        <is>
          <t>grams</t>
        </is>
      </c>
      <c r="H380" s="43" t="inlineStr">
        <is>
          <t>Medium</t>
        </is>
      </c>
      <c r="I380" s="45" t="inlineStr">
        <is>
          <t>Britannica / National Geographic / Guinness World Records</t>
        </is>
      </c>
      <c r="J380" s="43" t="n"/>
      <c r="K380" s="45" t="n"/>
      <c r="L380" s="43">
        <f>COUNTIFS($A$2:$A$1501,A380,$D$2:$D$1501,D380)</f>
        <v/>
      </c>
    </row>
    <row r="381" ht="23.85" customHeight="1" s="26">
      <c r="A381" s="43" t="n">
        <v>76</v>
      </c>
      <c r="B381" s="44" t="n">
        <v>46375</v>
      </c>
      <c r="C381" s="43" t="n">
        <v>5</v>
      </c>
      <c r="D381" s="45" t="inlineStr">
        <is>
          <t>Distance of the Day</t>
        </is>
      </c>
      <c r="E381" s="46" t="inlineStr">
        <is>
          <t>How far is it in a straight line from Anchorage to Dubai?</t>
        </is>
      </c>
      <c r="F381" s="47" t="n">
        <v>10140</v>
      </c>
      <c r="G381" s="45" t="inlineStr">
        <is>
          <t>km</t>
        </is>
      </c>
      <c r="H381" s="43" t="inlineStr">
        <is>
          <t>Hard</t>
        </is>
      </c>
      <c r="I381" s="45" t="inlineStr">
        <is>
          <t>Computed great-circle distance (city centre to city centre)</t>
        </is>
      </c>
      <c r="J381" s="43" t="n"/>
      <c r="K381" s="45" t="n"/>
      <c r="L381" s="43">
        <f>COUNTIFS($A$2:$A$1501,A381,$D$2:$D$1501,D381)</f>
        <v/>
      </c>
    </row>
    <row r="382" ht="23.85" customHeight="1" s="26">
      <c r="A382" s="35" t="n">
        <v>77</v>
      </c>
      <c r="B382" s="41" t="n">
        <v>46376</v>
      </c>
      <c r="C382" s="35" t="n">
        <v>1</v>
      </c>
      <c r="D382" s="33" t="inlineStr">
        <is>
          <t>Buildings and Engineering</t>
        </is>
      </c>
      <c r="E382" s="36" t="inlineStr">
        <is>
          <t>How tall is the Burj Khalifa?</t>
        </is>
      </c>
      <c r="F382" s="42" t="n">
        <v>828</v>
      </c>
      <c r="G382" s="33" t="inlineStr">
        <is>
          <t>metres</t>
        </is>
      </c>
      <c r="H382" s="35" t="inlineStr">
        <is>
          <t>Easy</t>
        </is>
      </c>
      <c r="I382" s="33" t="inlineStr">
        <is>
          <t>CTBUH</t>
        </is>
      </c>
      <c r="J382" s="35" t="n"/>
      <c r="K382" s="33" t="n"/>
      <c r="L382" s="35">
        <f>COUNTIFS($A$2:$A$1501,A382,$D$2:$D$1501,D382)</f>
        <v/>
      </c>
    </row>
    <row r="383" ht="23.85" customHeight="1" s="26">
      <c r="A383" s="35" t="n">
        <v>77</v>
      </c>
      <c r="B383" s="41" t="n">
        <v>46376</v>
      </c>
      <c r="C383" s="35" t="n">
        <v>2</v>
      </c>
      <c r="D383" s="33" t="inlineStr">
        <is>
          <t>Movies, Music and Games</t>
        </is>
      </c>
      <c r="E383" s="36" t="inlineStr">
        <is>
          <t>How many spaces are on a Monopoly board?</t>
        </is>
      </c>
      <c r="F383" s="42" t="n">
        <v>40</v>
      </c>
      <c r="G383" s="33" t="inlineStr">
        <is>
          <t>spaces</t>
        </is>
      </c>
      <c r="H383" s="35" t="inlineStr">
        <is>
          <t>Medium</t>
        </is>
      </c>
      <c r="I383" s="33" t="inlineStr">
        <is>
          <t>IMDb / official records / Guinness World Records</t>
        </is>
      </c>
      <c r="J383" s="35" t="n"/>
      <c r="K383" s="33" t="n"/>
      <c r="L383" s="35">
        <f>COUNTIFS($A$2:$A$1501,A383,$D$2:$D$1501,D383)</f>
        <v/>
      </c>
    </row>
    <row r="384" ht="23.85" customHeight="1" s="26">
      <c r="A384" s="35" t="n">
        <v>77</v>
      </c>
      <c r="B384" s="41" t="n">
        <v>46376</v>
      </c>
      <c r="C384" s="35" t="n">
        <v>3</v>
      </c>
      <c r="D384" s="33" t="inlineStr">
        <is>
          <t>Geography</t>
        </is>
      </c>
      <c r="E384" s="36" t="inlineStr">
        <is>
          <t>How big is Greenland?</t>
        </is>
      </c>
      <c r="F384" s="42" t="n">
        <v>2166086</v>
      </c>
      <c r="G384" s="33" t="inlineStr">
        <is>
          <t>km²</t>
        </is>
      </c>
      <c r="H384" s="35" t="inlineStr">
        <is>
          <t>Hard</t>
        </is>
      </c>
      <c r="I384" s="33" t="inlineStr">
        <is>
          <t>Britannica / national survey agencies</t>
        </is>
      </c>
      <c r="J384" s="35" t="n"/>
      <c r="K384" s="33" t="n"/>
      <c r="L384" s="35">
        <f>COUNTIFS($A$2:$A$1501,A384,$D$2:$D$1501,D384)</f>
        <v/>
      </c>
    </row>
    <row r="385" ht="23.85" customHeight="1" s="26">
      <c r="A385" s="35" t="n">
        <v>77</v>
      </c>
      <c r="B385" s="41" t="n">
        <v>46376</v>
      </c>
      <c r="C385" s="35" t="n">
        <v>4</v>
      </c>
      <c r="D385" s="33" t="inlineStr">
        <is>
          <t>Canada</t>
        </is>
      </c>
      <c r="E385" s="36" t="inlineStr">
        <is>
          <t>How big is Algonquin Provincial Park?</t>
        </is>
      </c>
      <c r="F385" s="42" t="n">
        <v>7653</v>
      </c>
      <c r="G385" s="33" t="inlineStr">
        <is>
          <t>km²</t>
        </is>
      </c>
      <c r="H385" s="35" t="inlineStr">
        <is>
          <t>Hard</t>
        </is>
      </c>
      <c r="I385" s="33" t="inlineStr">
        <is>
          <t>Ontario Parks</t>
        </is>
      </c>
      <c r="J385" s="35" t="n"/>
      <c r="K385" s="33" t="n"/>
      <c r="L385" s="35">
        <f>COUNTIFS($A$2:$A$1501,A385,$D$2:$D$1501,D385)</f>
        <v/>
      </c>
    </row>
    <row r="386" ht="23.85" customHeight="1" s="26">
      <c r="A386" s="35" t="n">
        <v>77</v>
      </c>
      <c r="B386" s="41" t="n">
        <v>46376</v>
      </c>
      <c r="C386" s="35" t="n">
        <v>5</v>
      </c>
      <c r="D386" s="33" t="inlineStr">
        <is>
          <t>Distance of the Day</t>
        </is>
      </c>
      <c r="E386" s="36" t="inlineStr">
        <is>
          <t>How far is it in a straight line from Vancouver to Mumbai?</t>
        </is>
      </c>
      <c r="F386" s="42" t="n">
        <v>12250</v>
      </c>
      <c r="G386" s="33" t="inlineStr">
        <is>
          <t>km</t>
        </is>
      </c>
      <c r="H386" s="35" t="inlineStr">
        <is>
          <t>Hard</t>
        </is>
      </c>
      <c r="I386" s="33" t="inlineStr">
        <is>
          <t>Computed great-circle distance (city centre to city centre)</t>
        </is>
      </c>
      <c r="J386" s="35" t="n"/>
      <c r="K386" s="33" t="n"/>
      <c r="L386" s="35">
        <f>COUNTIFS($A$2:$A$1501,A386,$D$2:$D$1501,D386)</f>
        <v/>
      </c>
    </row>
    <row r="387" ht="23.85" customHeight="1" s="26">
      <c r="A387" s="43" t="n">
        <v>78</v>
      </c>
      <c r="B387" s="44" t="n">
        <v>46377</v>
      </c>
      <c r="C387" s="43" t="n">
        <v>1</v>
      </c>
      <c r="D387" s="45" t="inlineStr">
        <is>
          <t>Food and Everyday Life</t>
        </is>
      </c>
      <c r="E387" s="46" t="inlineStr">
        <is>
          <t>How many cups of tea are drunk in the UK every day?</t>
        </is>
      </c>
      <c r="F387" s="47" t="n">
        <v>100</v>
      </c>
      <c r="G387" s="45" t="inlineStr">
        <is>
          <t>million cups</t>
        </is>
      </c>
      <c r="H387" s="43" t="inlineStr">
        <is>
          <t>Medium</t>
        </is>
      </c>
      <c r="I387" s="45" t="inlineStr">
        <is>
          <t>UK Tea and Infusions Association</t>
        </is>
      </c>
      <c r="J387" s="43" t="n"/>
      <c r="K387" s="45" t="n"/>
      <c r="L387" s="43">
        <f>COUNTIFS($A$2:$A$1501,A387,$D$2:$D$1501,D387)</f>
        <v/>
      </c>
    </row>
    <row r="388" ht="23.85" customHeight="1" s="26">
      <c r="A388" s="43" t="n">
        <v>78</v>
      </c>
      <c r="B388" s="44" t="n">
        <v>46377</v>
      </c>
      <c r="C388" s="43" t="n">
        <v>2</v>
      </c>
      <c r="D388" s="45" t="inlineStr">
        <is>
          <t>Space and Science</t>
        </is>
      </c>
      <c r="E388" s="46" t="inlineStr">
        <is>
          <t>How hot is the surface of the Sun?</t>
        </is>
      </c>
      <c r="F388" s="47" t="n">
        <v>5500</v>
      </c>
      <c r="G388" s="45" t="inlineStr">
        <is>
          <t>°C</t>
        </is>
      </c>
      <c r="H388" s="43" t="inlineStr">
        <is>
          <t>Medium</t>
        </is>
      </c>
      <c r="I388" s="45" t="inlineStr">
        <is>
          <t>NASA</t>
        </is>
      </c>
      <c r="J388" s="43" t="n"/>
      <c r="K388" s="45" t="n"/>
      <c r="L388" s="43">
        <f>COUNTIFS($A$2:$A$1501,A388,$D$2:$D$1501,D388)</f>
        <v/>
      </c>
    </row>
    <row r="389" ht="23.85" customHeight="1" s="26">
      <c r="A389" s="43" t="n">
        <v>78</v>
      </c>
      <c r="B389" s="44" t="n">
        <v>46377</v>
      </c>
      <c r="C389" s="43" t="n">
        <v>3</v>
      </c>
      <c r="D389" s="45" t="inlineStr">
        <is>
          <t>Sports</t>
        </is>
      </c>
      <c r="E389" s="46" t="inlineStr">
        <is>
          <t>How far is the NBA three-point line at the top of the arc?</t>
        </is>
      </c>
      <c r="F389" s="47" t="n">
        <v>23.75</v>
      </c>
      <c r="G389" s="45" t="inlineStr">
        <is>
          <t>feet</t>
        </is>
      </c>
      <c r="H389" s="43" t="inlineStr">
        <is>
          <t>Medium</t>
        </is>
      </c>
      <c r="I389" s="45" t="inlineStr">
        <is>
          <t>NBA Rulebook</t>
        </is>
      </c>
      <c r="J389" s="43" t="n"/>
      <c r="K389" s="45" t="n"/>
      <c r="L389" s="43">
        <f>COUNTIFS($A$2:$A$1501,A389,$D$2:$D$1501,D389)</f>
        <v/>
      </c>
    </row>
    <row r="390" ht="23.85" customHeight="1" s="26">
      <c r="A390" s="43" t="n">
        <v>78</v>
      </c>
      <c r="B390" s="44" t="n">
        <v>46377</v>
      </c>
      <c r="C390" s="43" t="n">
        <v>4</v>
      </c>
      <c r="D390" s="45" t="inlineStr">
        <is>
          <t>Human Body</t>
        </is>
      </c>
      <c r="E390" s="46" t="inlineStr">
        <is>
          <t>What percentage of the body's energy does the brain use?</t>
        </is>
      </c>
      <c r="F390" s="47" t="n">
        <v>20</v>
      </c>
      <c r="G390" s="45" t="inlineStr">
        <is>
          <t>%</t>
        </is>
      </c>
      <c r="H390" s="43" t="inlineStr">
        <is>
          <t>Medium</t>
        </is>
      </c>
      <c r="I390" s="45" t="inlineStr">
        <is>
          <t>Cleveland Clinic / NIH / Guinness World Records</t>
        </is>
      </c>
      <c r="J390" s="43" t="n"/>
      <c r="K390" s="45" t="n"/>
      <c r="L390" s="43">
        <f>COUNTIFS($A$2:$A$1501,A390,$D$2:$D$1501,D390)</f>
        <v/>
      </c>
    </row>
    <row r="391" ht="23.85" customHeight="1" s="26">
      <c r="A391" s="43" t="n">
        <v>78</v>
      </c>
      <c r="B391" s="44" t="n">
        <v>46377</v>
      </c>
      <c r="C391" s="43" t="n">
        <v>5</v>
      </c>
      <c r="D391" s="45" t="inlineStr">
        <is>
          <t>Distance of the Day</t>
        </is>
      </c>
      <c r="E391" s="46" t="inlineStr">
        <is>
          <t>How far is it in a straight line from Rome to Mecca?</t>
        </is>
      </c>
      <c r="F391" s="47" t="n">
        <v>3420</v>
      </c>
      <c r="G391" s="45" t="inlineStr">
        <is>
          <t>km</t>
        </is>
      </c>
      <c r="H391" s="43" t="inlineStr">
        <is>
          <t>Medium</t>
        </is>
      </c>
      <c r="I391" s="45" t="inlineStr">
        <is>
          <t>Computed great-circle distance (city centre to city centre)</t>
        </is>
      </c>
      <c r="J391" s="43" t="n"/>
      <c r="K391" s="45" t="n"/>
      <c r="L391" s="43">
        <f>COUNTIFS($A$2:$A$1501,A391,$D$2:$D$1501,D391)</f>
        <v/>
      </c>
    </row>
    <row r="392" ht="23.85" customHeight="1" s="26">
      <c r="A392" s="35" t="n">
        <v>79</v>
      </c>
      <c r="B392" s="41" t="n">
        <v>46378</v>
      </c>
      <c r="C392" s="35" t="n">
        <v>1</v>
      </c>
      <c r="D392" s="33" t="inlineStr">
        <is>
          <t>Geography</t>
        </is>
      </c>
      <c r="E392" s="36" t="inlineStr">
        <is>
          <t>How big is Vatican City?</t>
        </is>
      </c>
      <c r="F392" s="42" t="n">
        <v>49</v>
      </c>
      <c r="G392" s="33" t="inlineStr">
        <is>
          <t>hectares</t>
        </is>
      </c>
      <c r="H392" s="35" t="inlineStr">
        <is>
          <t>Medium</t>
        </is>
      </c>
      <c r="I392" s="33" t="inlineStr">
        <is>
          <t>Britannica / national survey agencies</t>
        </is>
      </c>
      <c r="J392" s="35" t="n"/>
      <c r="K392" s="33" t="n"/>
      <c r="L392" s="35">
        <f>COUNTIFS($A$2:$A$1501,A392,$D$2:$D$1501,D392)</f>
        <v/>
      </c>
    </row>
    <row r="393" ht="23.85" customHeight="1" s="26">
      <c r="A393" s="35" t="n">
        <v>79</v>
      </c>
      <c r="B393" s="41" t="n">
        <v>46378</v>
      </c>
      <c r="C393" s="35" t="n">
        <v>2</v>
      </c>
      <c r="D393" s="33" t="inlineStr">
        <is>
          <t>Buildings and Engineering</t>
        </is>
      </c>
      <c r="E393" s="36" t="inlineStr">
        <is>
          <t>How tall was the Great Pyramid of Giza when it was built?</t>
        </is>
      </c>
      <c r="F393" s="42" t="n">
        <v>146.6</v>
      </c>
      <c r="G393" s="33" t="inlineStr">
        <is>
          <t>metres</t>
        </is>
      </c>
      <c r="H393" s="35" t="inlineStr">
        <is>
          <t>Medium</t>
        </is>
      </c>
      <c r="I393" s="33" t="inlineStr">
        <is>
          <t>Official operator sites / CTBUH / Britannica</t>
        </is>
      </c>
      <c r="J393" s="35" t="n"/>
      <c r="K393" s="33" t="n"/>
      <c r="L393" s="35">
        <f>COUNTIFS($A$2:$A$1501,A393,$D$2:$D$1501,D393)</f>
        <v/>
      </c>
    </row>
    <row r="394" ht="23.85" customHeight="1" s="26">
      <c r="A394" s="35" t="n">
        <v>79</v>
      </c>
      <c r="B394" s="41" t="n">
        <v>46378</v>
      </c>
      <c r="C394" s="35" t="n">
        <v>3</v>
      </c>
      <c r="D394" s="33" t="inlineStr">
        <is>
          <t>History</t>
        </is>
      </c>
      <c r="E394" s="36" t="inlineStr">
        <is>
          <t>How many days did World War II last, from Germany's invasion of Poland to Japan's formal surrender?</t>
        </is>
      </c>
      <c r="F394" s="42" t="n">
        <v>2193</v>
      </c>
      <c r="G394" s="33" t="inlineStr">
        <is>
          <t>days</t>
        </is>
      </c>
      <c r="H394" s="35" t="inlineStr">
        <is>
          <t>Hard</t>
        </is>
      </c>
      <c r="I394" s="33" t="inlineStr">
        <is>
          <t>Britannica / national archives</t>
        </is>
      </c>
      <c r="J394" s="35" t="n"/>
      <c r="K394" s="33" t="n"/>
      <c r="L394" s="35">
        <f>COUNTIFS($A$2:$A$1501,A394,$D$2:$D$1501,D394)</f>
        <v/>
      </c>
    </row>
    <row r="395" ht="23.85" customHeight="1" s="26">
      <c r="A395" s="35" t="n">
        <v>79</v>
      </c>
      <c r="B395" s="41" t="n">
        <v>46378</v>
      </c>
      <c r="C395" s="35" t="n">
        <v>4</v>
      </c>
      <c r="D395" s="33" t="inlineStr">
        <is>
          <t>Animals and Nature</t>
        </is>
      </c>
      <c r="E395" s="36" t="inlineStr">
        <is>
          <t>How many eyes can a scallop have?</t>
        </is>
      </c>
      <c r="F395" s="42" t="n">
        <v>200</v>
      </c>
      <c r="G395" s="33" t="inlineStr">
        <is>
          <t>eyes</t>
        </is>
      </c>
      <c r="H395" s="35" t="inlineStr">
        <is>
          <t>Hard</t>
        </is>
      </c>
      <c r="I395" s="33" t="inlineStr">
        <is>
          <t>Britannica / National Geographic / Guinness World Records</t>
        </is>
      </c>
      <c r="J395" s="35" t="n"/>
      <c r="K395" s="33" t="n"/>
      <c r="L395" s="35">
        <f>COUNTIFS($A$2:$A$1501,A395,$D$2:$D$1501,D395)</f>
        <v/>
      </c>
    </row>
    <row r="396" ht="23.85" customHeight="1" s="26">
      <c r="A396" s="35" t="n">
        <v>79</v>
      </c>
      <c r="B396" s="41" t="n">
        <v>46378</v>
      </c>
      <c r="C396" s="35" t="n">
        <v>5</v>
      </c>
      <c r="D396" s="33" t="inlineStr">
        <is>
          <t>Distance of the Day</t>
        </is>
      </c>
      <c r="E396" s="36" t="inlineStr">
        <is>
          <t>How far is it in a straight line from Toronto to Lahore?</t>
        </is>
      </c>
      <c r="F396" s="42" t="n">
        <v>11240</v>
      </c>
      <c r="G396" s="33" t="inlineStr">
        <is>
          <t>km</t>
        </is>
      </c>
      <c r="H396" s="35" t="inlineStr">
        <is>
          <t>Hard</t>
        </is>
      </c>
      <c r="I396" s="33" t="inlineStr">
        <is>
          <t>Computed great-circle distance (city centre to city centre)</t>
        </is>
      </c>
      <c r="J396" s="35" t="n"/>
      <c r="K396" s="33" t="n"/>
      <c r="L396" s="35">
        <f>COUNTIFS($A$2:$A$1501,A396,$D$2:$D$1501,D396)</f>
        <v/>
      </c>
    </row>
    <row r="397" ht="23.85" customHeight="1" s="26">
      <c r="A397" s="43" t="n">
        <v>80</v>
      </c>
      <c r="B397" s="44" t="n">
        <v>46379</v>
      </c>
      <c r="C397" s="43" t="n">
        <v>1</v>
      </c>
      <c r="D397" s="45" t="inlineStr">
        <is>
          <t>Sports</t>
        </is>
      </c>
      <c r="E397" s="46" t="inlineStr">
        <is>
          <t>How many three-pointers did Stephen Curry make in the 2015-16 regular season?</t>
        </is>
      </c>
      <c r="F397" s="47" t="n">
        <v>402</v>
      </c>
      <c r="G397" s="45" t="inlineStr">
        <is>
          <t>three-pointers</t>
        </is>
      </c>
      <c r="H397" s="43" t="inlineStr">
        <is>
          <t>Medium</t>
        </is>
      </c>
      <c r="I397" s="45" t="inlineStr">
        <is>
          <t>NBA.com</t>
        </is>
      </c>
      <c r="J397" s="43" t="n"/>
      <c r="K397" s="45" t="n"/>
      <c r="L397" s="43">
        <f>COUNTIFS($A$2:$A$1501,A397,$D$2:$D$1501,D397)</f>
        <v/>
      </c>
    </row>
    <row r="398" ht="23.85" customHeight="1" s="26">
      <c r="A398" s="43" t="n">
        <v>80</v>
      </c>
      <c r="B398" s="44" t="n">
        <v>46379</v>
      </c>
      <c r="C398" s="43" t="n">
        <v>2</v>
      </c>
      <c r="D398" s="45" t="inlineStr">
        <is>
          <t>Canada</t>
        </is>
      </c>
      <c r="E398" s="46" t="inlineStr">
        <is>
          <t>How big is Prince Edward Island?</t>
        </is>
      </c>
      <c r="F398" s="47" t="n">
        <v>5660</v>
      </c>
      <c r="G398" s="45" t="inlineStr">
        <is>
          <t>km²</t>
        </is>
      </c>
      <c r="H398" s="43" t="inlineStr">
        <is>
          <t>Medium</t>
        </is>
      </c>
      <c r="I398" s="45" t="inlineStr">
        <is>
          <t>Statistics Canada</t>
        </is>
      </c>
      <c r="J398" s="43" t="n"/>
      <c r="K398" s="45" t="n"/>
      <c r="L398" s="43">
        <f>COUNTIFS($A$2:$A$1501,A398,$D$2:$D$1501,D398)</f>
        <v/>
      </c>
    </row>
    <row r="399" ht="23.85" customHeight="1" s="26">
      <c r="A399" s="43" t="n">
        <v>80</v>
      </c>
      <c r="B399" s="44" t="n">
        <v>46379</v>
      </c>
      <c r="C399" s="43" t="n">
        <v>3</v>
      </c>
      <c r="D399" s="45" t="inlineStr">
        <is>
          <t>Space and Science</t>
        </is>
      </c>
      <c r="E399" s="46" t="inlineStr">
        <is>
          <t>What is the density of gold?</t>
        </is>
      </c>
      <c r="F399" s="47" t="n">
        <v>19.3</v>
      </c>
      <c r="G399" s="45" t="inlineStr">
        <is>
          <t>g/cm³</t>
        </is>
      </c>
      <c r="H399" s="43" t="inlineStr">
        <is>
          <t>Hard</t>
        </is>
      </c>
      <c r="I399" s="45" t="inlineStr">
        <is>
          <t>CRC Handbook</t>
        </is>
      </c>
      <c r="J399" s="43" t="n"/>
      <c r="K399" s="45" t="n"/>
      <c r="L399" s="43">
        <f>COUNTIFS($A$2:$A$1501,A399,$D$2:$D$1501,D399)</f>
        <v/>
      </c>
    </row>
    <row r="400" ht="23.85" customHeight="1" s="26">
      <c r="A400" s="43" t="n">
        <v>80</v>
      </c>
      <c r="B400" s="44" t="n">
        <v>46379</v>
      </c>
      <c r="C400" s="43" t="n">
        <v>4</v>
      </c>
      <c r="D400" s="45" t="inlineStr">
        <is>
          <t>Food and Everyday Life</t>
        </is>
      </c>
      <c r="E400" s="46" t="inlineStr">
        <is>
          <t>How many grapes go into a bottle of wine?</t>
        </is>
      </c>
      <c r="F400" s="47" t="n">
        <v>700</v>
      </c>
      <c r="G400" s="45" t="inlineStr">
        <is>
          <t>grapes</t>
        </is>
      </c>
      <c r="H400" s="43" t="inlineStr">
        <is>
          <t>Hard</t>
        </is>
      </c>
      <c r="I400" s="45" t="inlineStr">
        <is>
          <t>Food industry bodies / USDA / Water Footprint Network</t>
        </is>
      </c>
      <c r="J400" s="43" t="n"/>
      <c r="K400" s="45" t="n"/>
      <c r="L400" s="43">
        <f>COUNTIFS($A$2:$A$1501,A400,$D$2:$D$1501,D400)</f>
        <v/>
      </c>
    </row>
    <row r="401" ht="23.85" customHeight="1" s="26">
      <c r="A401" s="43" t="n">
        <v>80</v>
      </c>
      <c r="B401" s="44" t="n">
        <v>46379</v>
      </c>
      <c r="C401" s="43" t="n">
        <v>5</v>
      </c>
      <c r="D401" s="45" t="inlineStr">
        <is>
          <t>Distance of the Day</t>
        </is>
      </c>
      <c r="E401" s="46" t="inlineStr">
        <is>
          <t>How far is it in a straight line from Mexico City to Rome?</t>
        </is>
      </c>
      <c r="F401" s="47" t="n">
        <v>10240</v>
      </c>
      <c r="G401" s="45" t="inlineStr">
        <is>
          <t>km</t>
        </is>
      </c>
      <c r="H401" s="43" t="inlineStr">
        <is>
          <t>Hard</t>
        </is>
      </c>
      <c r="I401" s="45" t="inlineStr">
        <is>
          <t>Computed great-circle distance (city centre to city centre)</t>
        </is>
      </c>
      <c r="J401" s="43" t="n"/>
      <c r="K401" s="45" t="n"/>
      <c r="L401" s="43">
        <f>COUNTIFS($A$2:$A$1501,A401,$D$2:$D$1501,D401)</f>
        <v/>
      </c>
    </row>
    <row r="402" ht="23.85" customHeight="1" s="26">
      <c r="A402" s="35" t="n">
        <v>81</v>
      </c>
      <c r="B402" s="41" t="n">
        <v>46380</v>
      </c>
      <c r="C402" s="35" t="n">
        <v>1</v>
      </c>
      <c r="D402" s="33" t="inlineStr">
        <is>
          <t>Buildings and Engineering</t>
        </is>
      </c>
      <c r="E402" s="36" t="inlineStr">
        <is>
          <t>How long is the Trans-Siberian Railway from Moscow to Vladivostok?</t>
        </is>
      </c>
      <c r="F402" s="42" t="n">
        <v>9289</v>
      </c>
      <c r="G402" s="33" t="inlineStr">
        <is>
          <t>km</t>
        </is>
      </c>
      <c r="H402" s="35" t="inlineStr">
        <is>
          <t>Medium</t>
        </is>
      </c>
      <c r="I402" s="33" t="inlineStr">
        <is>
          <t>Official operator sites / CTBUH / Britannica</t>
        </is>
      </c>
      <c r="J402" s="35" t="n"/>
      <c r="K402" s="33" t="n"/>
      <c r="L402" s="35">
        <f>COUNTIFS($A$2:$A$1501,A402,$D$2:$D$1501,D402)</f>
        <v/>
      </c>
    </row>
    <row r="403" ht="23.85" customHeight="1" s="26">
      <c r="A403" s="35" t="n">
        <v>81</v>
      </c>
      <c r="B403" s="41" t="n">
        <v>46380</v>
      </c>
      <c r="C403" s="35" t="n">
        <v>2</v>
      </c>
      <c r="D403" s="33" t="inlineStr">
        <is>
          <t>Movies, Music and Games</t>
        </is>
      </c>
      <c r="E403" s="36" t="inlineStr">
        <is>
          <t>How long is Jurassic Park (1993)?</t>
        </is>
      </c>
      <c r="F403" s="42" t="n">
        <v>127</v>
      </c>
      <c r="G403" s="33" t="inlineStr">
        <is>
          <t>minutes</t>
        </is>
      </c>
      <c r="H403" s="35" t="inlineStr">
        <is>
          <t>Medium</t>
        </is>
      </c>
      <c r="I403" s="33" t="inlineStr">
        <is>
          <t>IMDb</t>
        </is>
      </c>
      <c r="J403" s="35" t="n"/>
      <c r="K403" s="33" t="n"/>
      <c r="L403" s="35">
        <f>COUNTIFS($A$2:$A$1501,A403,$D$2:$D$1501,D403)</f>
        <v/>
      </c>
    </row>
    <row r="404" ht="23.85" customHeight="1" s="26">
      <c r="A404" s="35" t="n">
        <v>81</v>
      </c>
      <c r="B404" s="41" t="n">
        <v>46380</v>
      </c>
      <c r="C404" s="35" t="n">
        <v>3</v>
      </c>
      <c r="D404" s="33" t="inlineStr">
        <is>
          <t>Human Body</t>
        </is>
      </c>
      <c r="E404" s="36" t="inlineStr">
        <is>
          <t>How tall was Robert Wadlow, the tallest person ever recorded?</t>
        </is>
      </c>
      <c r="F404" s="42" t="n">
        <v>272</v>
      </c>
      <c r="G404" s="33" t="inlineStr">
        <is>
          <t>cm</t>
        </is>
      </c>
      <c r="H404" s="35" t="inlineStr">
        <is>
          <t>Medium</t>
        </is>
      </c>
      <c r="I404" s="33" t="inlineStr">
        <is>
          <t>Guinness World Records</t>
        </is>
      </c>
      <c r="J404" s="35" t="n"/>
      <c r="K404" s="33" t="n"/>
      <c r="L404" s="35">
        <f>COUNTIFS($A$2:$A$1501,A404,$D$2:$D$1501,D404)</f>
        <v/>
      </c>
    </row>
    <row r="405" ht="23.85" customHeight="1" s="26">
      <c r="A405" s="35" t="n">
        <v>81</v>
      </c>
      <c r="B405" s="41" t="n">
        <v>46380</v>
      </c>
      <c r="C405" s="35" t="n">
        <v>4</v>
      </c>
      <c r="D405" s="33" t="inlineStr">
        <is>
          <t>Geography</t>
        </is>
      </c>
      <c r="E405" s="36" t="inlineStr">
        <is>
          <t>How big is Lake Victoria?</t>
        </is>
      </c>
      <c r="F405" s="42" t="n">
        <v>68800</v>
      </c>
      <c r="G405" s="33" t="inlineStr">
        <is>
          <t>km²</t>
        </is>
      </c>
      <c r="H405" s="35" t="inlineStr">
        <is>
          <t>Hard</t>
        </is>
      </c>
      <c r="I405" s="33" t="inlineStr">
        <is>
          <t>Britannica / national survey agencies</t>
        </is>
      </c>
      <c r="J405" s="35" t="n"/>
      <c r="K405" s="33" t="n"/>
      <c r="L405" s="35">
        <f>COUNTIFS($A$2:$A$1501,A405,$D$2:$D$1501,D405)</f>
        <v/>
      </c>
    </row>
    <row r="406" ht="23.85" customHeight="1" s="26">
      <c r="A406" s="35" t="n">
        <v>81</v>
      </c>
      <c r="B406" s="41" t="n">
        <v>46380</v>
      </c>
      <c r="C406" s="35" t="n">
        <v>5</v>
      </c>
      <c r="D406" s="33" t="inlineStr">
        <is>
          <t>Distance of the Day</t>
        </is>
      </c>
      <c r="E406" s="36" t="inlineStr">
        <is>
          <t>How far is it in a straight line from Calgary to Mumbai?</t>
        </is>
      </c>
      <c r="F406" s="42" t="n">
        <v>12190</v>
      </c>
      <c r="G406" s="33" t="inlineStr">
        <is>
          <t>km</t>
        </is>
      </c>
      <c r="H406" s="35" t="inlineStr">
        <is>
          <t>Hard</t>
        </is>
      </c>
      <c r="I406" s="33" t="inlineStr">
        <is>
          <t>Computed great-circle distance (city centre to city centre)</t>
        </is>
      </c>
      <c r="J406" s="35" t="n"/>
      <c r="K406" s="33" t="n"/>
      <c r="L406" s="35">
        <f>COUNTIFS($A$2:$A$1501,A406,$D$2:$D$1501,D406)</f>
        <v/>
      </c>
    </row>
    <row r="407" ht="23.85" customHeight="1" s="26">
      <c r="A407" s="43" t="n">
        <v>82</v>
      </c>
      <c r="B407" s="44" t="n">
        <v>46381</v>
      </c>
      <c r="C407" s="43" t="n">
        <v>1</v>
      </c>
      <c r="D407" s="45" t="inlineStr">
        <is>
          <t>History</t>
        </is>
      </c>
      <c r="E407" s="46" t="inlineStr">
        <is>
          <t>How many years did the Berlin Wall stand?</t>
        </is>
      </c>
      <c r="F407" s="47" t="n">
        <v>28</v>
      </c>
      <c r="G407" s="45" t="inlineStr">
        <is>
          <t>years</t>
        </is>
      </c>
      <c r="H407" s="43" t="inlineStr">
        <is>
          <t>Easy</t>
        </is>
      </c>
      <c r="I407" s="45" t="inlineStr">
        <is>
          <t>Britannica / national archives</t>
        </is>
      </c>
      <c r="J407" s="43" t="n"/>
      <c r="K407" s="45" t="n"/>
      <c r="L407" s="43">
        <f>COUNTIFS($A$2:$A$1501,A407,$D$2:$D$1501,D407)</f>
        <v/>
      </c>
    </row>
    <row r="408" ht="23.85" customHeight="1" s="26">
      <c r="A408" s="43" t="n">
        <v>82</v>
      </c>
      <c r="B408" s="44" t="n">
        <v>46381</v>
      </c>
      <c r="C408" s="43" t="n">
        <v>2</v>
      </c>
      <c r="D408" s="45" t="inlineStr">
        <is>
          <t>Food and Everyday Life</t>
        </is>
      </c>
      <c r="E408" s="46" t="inlineStr">
        <is>
          <t>How many shapes of pasta are there, by common estimates?</t>
        </is>
      </c>
      <c r="F408" s="47" t="n">
        <v>350</v>
      </c>
      <c r="G408" s="45" t="inlineStr">
        <is>
          <t>shapes</t>
        </is>
      </c>
      <c r="H408" s="43" t="inlineStr">
        <is>
          <t>Medium</t>
        </is>
      </c>
      <c r="I408" s="45" t="inlineStr">
        <is>
          <t>Food industry bodies / USDA / Water Footprint Network</t>
        </is>
      </c>
      <c r="J408" s="43" t="n"/>
      <c r="K408" s="45" t="n"/>
      <c r="L408" s="43">
        <f>COUNTIFS($A$2:$A$1501,A408,$D$2:$D$1501,D408)</f>
        <v/>
      </c>
    </row>
    <row r="409" ht="23.85" customHeight="1" s="26">
      <c r="A409" s="43" t="n">
        <v>82</v>
      </c>
      <c r="B409" s="44" t="n">
        <v>46381</v>
      </c>
      <c r="C409" s="43" t="n">
        <v>3</v>
      </c>
      <c r="D409" s="45" t="inlineStr">
        <is>
          <t>Canada</t>
        </is>
      </c>
      <c r="E409" s="46" t="inlineStr">
        <is>
          <t>How long is Canada's coastline, the longest in the world?</t>
        </is>
      </c>
      <c r="F409" s="47" t="n">
        <v>243042</v>
      </c>
      <c r="G409" s="45" t="inlineStr">
        <is>
          <t>km</t>
        </is>
      </c>
      <c r="H409" s="43" t="inlineStr">
        <is>
          <t>Hard</t>
        </is>
      </c>
      <c r="I409" s="45" t="inlineStr">
        <is>
          <t>Natural Resources Canada</t>
        </is>
      </c>
      <c r="J409" s="43" t="n"/>
      <c r="K409" s="45" t="n"/>
      <c r="L409" s="43">
        <f>COUNTIFS($A$2:$A$1501,A409,$D$2:$D$1501,D409)</f>
        <v/>
      </c>
    </row>
    <row r="410" ht="23.85" customHeight="1" s="26">
      <c r="A410" s="43" t="n">
        <v>82</v>
      </c>
      <c r="B410" s="44" t="n">
        <v>46381</v>
      </c>
      <c r="C410" s="43" t="n">
        <v>4</v>
      </c>
      <c r="D410" s="45" t="inlineStr">
        <is>
          <t>Sports</t>
        </is>
      </c>
      <c r="E410" s="46" t="inlineStr">
        <is>
          <t>How many assists did Wayne Gretzky record in his NHL regular-season career?</t>
        </is>
      </c>
      <c r="F410" s="47" t="n">
        <v>1963</v>
      </c>
      <c r="G410" s="45" t="inlineStr">
        <is>
          <t>assists</t>
        </is>
      </c>
      <c r="H410" s="43" t="inlineStr">
        <is>
          <t>Hard</t>
        </is>
      </c>
      <c r="I410" s="45" t="inlineStr">
        <is>
          <t>NHL Records</t>
        </is>
      </c>
      <c r="J410" s="43" t="n"/>
      <c r="K410" s="45" t="n"/>
      <c r="L410" s="43">
        <f>COUNTIFS($A$2:$A$1501,A410,$D$2:$D$1501,D410)</f>
        <v/>
      </c>
    </row>
    <row r="411" ht="23.85" customHeight="1" s="26">
      <c r="A411" s="43" t="n">
        <v>82</v>
      </c>
      <c r="B411" s="44" t="n">
        <v>46381</v>
      </c>
      <c r="C411" s="43" t="n">
        <v>5</v>
      </c>
      <c r="D411" s="45" t="inlineStr">
        <is>
          <t>Distance of the Day</t>
        </is>
      </c>
      <c r="E411" s="46" t="inlineStr">
        <is>
          <t>How far is it in a straight line from Nairobi to Mecca?</t>
        </is>
      </c>
      <c r="F411" s="47" t="n">
        <v>2540</v>
      </c>
      <c r="G411" s="45" t="inlineStr">
        <is>
          <t>km</t>
        </is>
      </c>
      <c r="H411" s="43" t="inlineStr">
        <is>
          <t>Medium</t>
        </is>
      </c>
      <c r="I411" s="45" t="inlineStr">
        <is>
          <t>Computed great-circle distance (city centre to city centre)</t>
        </is>
      </c>
      <c r="J411" s="43" t="n"/>
      <c r="K411" s="45" t="n"/>
      <c r="L411" s="43">
        <f>COUNTIFS($A$2:$A$1501,A411,$D$2:$D$1501,D411)</f>
        <v/>
      </c>
    </row>
    <row r="412" ht="23.85" customHeight="1" s="26">
      <c r="A412" s="35" t="n">
        <v>83</v>
      </c>
      <c r="B412" s="41" t="n">
        <v>46382</v>
      </c>
      <c r="C412" s="35" t="n">
        <v>1</v>
      </c>
      <c r="D412" s="33" t="inlineStr">
        <is>
          <t>Human Body</t>
        </is>
      </c>
      <c r="E412" s="36" t="inlineStr">
        <is>
          <t>How many bones does an adult human have?</t>
        </is>
      </c>
      <c r="F412" s="42" t="n">
        <v>206</v>
      </c>
      <c r="G412" s="33" t="inlineStr">
        <is>
          <t>bones</t>
        </is>
      </c>
      <c r="H412" s="35" t="inlineStr">
        <is>
          <t>Easy</t>
        </is>
      </c>
      <c r="I412" s="33" t="inlineStr">
        <is>
          <t>Cleveland Clinic / NIH / Guinness World Records</t>
        </is>
      </c>
      <c r="J412" s="35" t="n"/>
      <c r="K412" s="33" t="n"/>
      <c r="L412" s="35">
        <f>COUNTIFS($A$2:$A$1501,A412,$D$2:$D$1501,D412)</f>
        <v/>
      </c>
    </row>
    <row r="413" ht="23.85" customHeight="1" s="26">
      <c r="A413" s="35" t="n">
        <v>83</v>
      </c>
      <c r="B413" s="41" t="n">
        <v>46382</v>
      </c>
      <c r="C413" s="35" t="n">
        <v>2</v>
      </c>
      <c r="D413" s="33" t="inlineStr">
        <is>
          <t>Geography</t>
        </is>
      </c>
      <c r="E413" s="36" t="inlineStr">
        <is>
          <t>How big is Iceland?</t>
        </is>
      </c>
      <c r="F413" s="42" t="n">
        <v>103000</v>
      </c>
      <c r="G413" s="33" t="inlineStr">
        <is>
          <t>km²</t>
        </is>
      </c>
      <c r="H413" s="35" t="inlineStr">
        <is>
          <t>Medium</t>
        </is>
      </c>
      <c r="I413" s="33" t="inlineStr">
        <is>
          <t>Britannica / national survey agencies</t>
        </is>
      </c>
      <c r="J413" s="35" t="n"/>
      <c r="K413" s="33" t="n"/>
      <c r="L413" s="35">
        <f>COUNTIFS($A$2:$A$1501,A413,$D$2:$D$1501,D413)</f>
        <v/>
      </c>
    </row>
    <row r="414" ht="23.85" customHeight="1" s="26">
      <c r="A414" s="35" t="n">
        <v>83</v>
      </c>
      <c r="B414" s="41" t="n">
        <v>46382</v>
      </c>
      <c r="C414" s="35" t="n">
        <v>3</v>
      </c>
      <c r="D414" s="33" t="inlineStr">
        <is>
          <t>Buildings and Engineering</t>
        </is>
      </c>
      <c r="E414" s="36" t="inlineStr">
        <is>
          <t>How many floors does the Empire State Building have?</t>
        </is>
      </c>
      <c r="F414" s="42" t="n">
        <v>102</v>
      </c>
      <c r="G414" s="33" t="inlineStr">
        <is>
          <t>floors</t>
        </is>
      </c>
      <c r="H414" s="35" t="inlineStr">
        <is>
          <t>Medium</t>
        </is>
      </c>
      <c r="I414" s="33" t="inlineStr">
        <is>
          <t>Empire State Building</t>
        </is>
      </c>
      <c r="J414" s="35" t="n"/>
      <c r="K414" s="33" t="n"/>
      <c r="L414" s="35">
        <f>COUNTIFS($A$2:$A$1501,A414,$D$2:$D$1501,D414)</f>
        <v/>
      </c>
    </row>
    <row r="415" ht="23.85" customHeight="1" s="26">
      <c r="A415" s="35" t="n">
        <v>83</v>
      </c>
      <c r="B415" s="41" t="n">
        <v>46382</v>
      </c>
      <c r="C415" s="35" t="n">
        <v>4</v>
      </c>
      <c r="D415" s="33" t="inlineStr">
        <is>
          <t>Animals and Nature</t>
        </is>
      </c>
      <c r="E415" s="36" t="inlineStr">
        <is>
          <t>How many times does lightning strike Earth every second?</t>
        </is>
      </c>
      <c r="F415" s="42" t="n">
        <v>44</v>
      </c>
      <c r="G415" s="33" t="inlineStr">
        <is>
          <t>strikes</t>
        </is>
      </c>
      <c r="H415" s="35" t="inlineStr">
        <is>
          <t>Medium</t>
        </is>
      </c>
      <c r="I415" s="33" t="inlineStr">
        <is>
          <t>NASA</t>
        </is>
      </c>
      <c r="J415" s="35" t="n"/>
      <c r="K415" s="33" t="n"/>
      <c r="L415" s="35">
        <f>COUNTIFS($A$2:$A$1501,A415,$D$2:$D$1501,D415)</f>
        <v/>
      </c>
    </row>
    <row r="416" ht="23.85" customHeight="1" s="26">
      <c r="A416" s="35" t="n">
        <v>83</v>
      </c>
      <c r="B416" s="41" t="n">
        <v>46382</v>
      </c>
      <c r="C416" s="35" t="n">
        <v>5</v>
      </c>
      <c r="D416" s="33" t="inlineStr">
        <is>
          <t>Distance of the Day</t>
        </is>
      </c>
      <c r="E416" s="36" t="inlineStr">
        <is>
          <t>How far is it in a straight line from Whitehorse to Rio de Janeiro?</t>
        </is>
      </c>
      <c r="F416" s="42" t="n">
        <v>12320</v>
      </c>
      <c r="G416" s="33" t="inlineStr">
        <is>
          <t>km</t>
        </is>
      </c>
      <c r="H416" s="35" t="inlineStr">
        <is>
          <t>Hard</t>
        </is>
      </c>
      <c r="I416" s="33" t="inlineStr">
        <is>
          <t>Computed great-circle distance (city centre to city centre)</t>
        </is>
      </c>
      <c r="J416" s="35" t="n"/>
      <c r="K416" s="33" t="n"/>
      <c r="L416" s="35">
        <f>COUNTIFS($A$2:$A$1501,A416,$D$2:$D$1501,D416)</f>
        <v/>
      </c>
    </row>
    <row r="417" ht="23.85" customHeight="1" s="26">
      <c r="A417" s="43" t="n">
        <v>84</v>
      </c>
      <c r="B417" s="44" t="n">
        <v>46383</v>
      </c>
      <c r="C417" s="43" t="n">
        <v>1</v>
      </c>
      <c r="D417" s="45" t="inlineStr">
        <is>
          <t>History</t>
        </is>
      </c>
      <c r="E417" s="46" t="inlineStr">
        <is>
          <t>How many years did Queen Victoria reign?</t>
        </is>
      </c>
      <c r="F417" s="47" t="n">
        <v>63</v>
      </c>
      <c r="G417" s="45" t="inlineStr">
        <is>
          <t>years</t>
        </is>
      </c>
      <c r="H417" s="43" t="inlineStr">
        <is>
          <t>Medium</t>
        </is>
      </c>
      <c r="I417" s="45" t="inlineStr">
        <is>
          <t>Britannica / national archives</t>
        </is>
      </c>
      <c r="J417" s="43" t="n"/>
      <c r="K417" s="45" t="n"/>
      <c r="L417" s="43">
        <f>COUNTIFS($A$2:$A$1501,A417,$D$2:$D$1501,D417)</f>
        <v/>
      </c>
    </row>
    <row r="418" ht="23.85" customHeight="1" s="26">
      <c r="A418" s="43" t="n">
        <v>84</v>
      </c>
      <c r="B418" s="44" t="n">
        <v>46383</v>
      </c>
      <c r="C418" s="43" t="n">
        <v>2</v>
      </c>
      <c r="D418" s="45" t="inlineStr">
        <is>
          <t>Movies, Music and Games</t>
        </is>
      </c>
      <c r="E418" s="46" t="inlineStr">
        <is>
          <t>How long is The Lion King (1994)?</t>
        </is>
      </c>
      <c r="F418" s="47" t="n">
        <v>88</v>
      </c>
      <c r="G418" s="45" t="inlineStr">
        <is>
          <t>minutes</t>
        </is>
      </c>
      <c r="H418" s="43" t="inlineStr">
        <is>
          <t>Medium</t>
        </is>
      </c>
      <c r="I418" s="45" t="inlineStr">
        <is>
          <t>IMDb</t>
        </is>
      </c>
      <c r="J418" s="43" t="n"/>
      <c r="K418" s="45" t="n"/>
      <c r="L418" s="43">
        <f>COUNTIFS($A$2:$A$1501,A418,$D$2:$D$1501,D418)</f>
        <v/>
      </c>
    </row>
    <row r="419" ht="23.85" customHeight="1" s="26">
      <c r="A419" s="43" t="n">
        <v>84</v>
      </c>
      <c r="B419" s="44" t="n">
        <v>46383</v>
      </c>
      <c r="C419" s="43" t="n">
        <v>3</v>
      </c>
      <c r="D419" s="45" t="inlineStr">
        <is>
          <t>Space and Science</t>
        </is>
      </c>
      <c r="E419" s="46" t="inlineStr">
        <is>
          <t>How many seconds does sunlight take to reach Earth?</t>
        </is>
      </c>
      <c r="F419" s="47" t="n">
        <v>499</v>
      </c>
      <c r="G419" s="45" t="inlineStr">
        <is>
          <t>seconds</t>
        </is>
      </c>
      <c r="H419" s="43" t="inlineStr">
        <is>
          <t>Medium</t>
        </is>
      </c>
      <c r="I419" s="45" t="inlineStr">
        <is>
          <t>NASA</t>
        </is>
      </c>
      <c r="J419" s="43" t="n"/>
      <c r="K419" s="45" t="n"/>
      <c r="L419" s="43">
        <f>COUNTIFS($A$2:$A$1501,A419,$D$2:$D$1501,D419)</f>
        <v/>
      </c>
    </row>
    <row r="420" ht="23.85" customHeight="1" s="26">
      <c r="A420" s="43" t="n">
        <v>84</v>
      </c>
      <c r="B420" s="44" t="n">
        <v>46383</v>
      </c>
      <c r="C420" s="43" t="n">
        <v>4</v>
      </c>
      <c r="D420" s="45" t="inlineStr">
        <is>
          <t>Food and Everyday Life</t>
        </is>
      </c>
      <c r="E420" s="46" t="inlineStr">
        <is>
          <t>How many litres of milk does it take to make 1 kg of cheese?</t>
        </is>
      </c>
      <c r="F420" s="47" t="n">
        <v>10</v>
      </c>
      <c r="G420" s="45" t="inlineStr">
        <is>
          <t>litres</t>
        </is>
      </c>
      <c r="H420" s="43" t="inlineStr">
        <is>
          <t>Medium</t>
        </is>
      </c>
      <c r="I420" s="45" t="inlineStr">
        <is>
          <t>Food industry bodies / USDA / Water Footprint Network</t>
        </is>
      </c>
      <c r="J420" s="43" t="n"/>
      <c r="K420" s="45" t="n"/>
      <c r="L420" s="43">
        <f>COUNTIFS($A$2:$A$1501,A420,$D$2:$D$1501,D420)</f>
        <v/>
      </c>
    </row>
    <row r="421" ht="23.85" customHeight="1" s="26">
      <c r="A421" s="43" t="n">
        <v>84</v>
      </c>
      <c r="B421" s="44" t="n">
        <v>46383</v>
      </c>
      <c r="C421" s="43" t="n">
        <v>5</v>
      </c>
      <c r="D421" s="45" t="inlineStr">
        <is>
          <t>Distance of the Day</t>
        </is>
      </c>
      <c r="E421" s="46" t="inlineStr">
        <is>
          <t>How far is it in a straight line from Anchorage to Moscow?</t>
        </is>
      </c>
      <c r="F421" s="47" t="n">
        <v>6990</v>
      </c>
      <c r="G421" s="45" t="inlineStr">
        <is>
          <t>km</t>
        </is>
      </c>
      <c r="H421" s="43" t="inlineStr">
        <is>
          <t>Medium</t>
        </is>
      </c>
      <c r="I421" s="45" t="inlineStr">
        <is>
          <t>Computed great-circle distance (city centre to city centre)</t>
        </is>
      </c>
      <c r="J421" s="43" t="n"/>
      <c r="K421" s="45" t="n"/>
      <c r="L421" s="43">
        <f>COUNTIFS($A$2:$A$1501,A421,$D$2:$D$1501,D421)</f>
        <v/>
      </c>
    </row>
    <row r="422" ht="23.85" customHeight="1" s="26">
      <c r="A422" s="35" t="n">
        <v>85</v>
      </c>
      <c r="B422" s="41" t="n">
        <v>46384</v>
      </c>
      <c r="C422" s="35" t="n">
        <v>1</v>
      </c>
      <c r="D422" s="33" t="inlineStr">
        <is>
          <t>Sports</t>
        </is>
      </c>
      <c r="E422" s="36" t="inlineStr">
        <is>
          <t>How many Olympic medals did Michael Phelps win in his career?</t>
        </is>
      </c>
      <c r="F422" s="42" t="n">
        <v>28</v>
      </c>
      <c r="G422" s="33" t="inlineStr">
        <is>
          <t>medals</t>
        </is>
      </c>
      <c r="H422" s="35" t="inlineStr">
        <is>
          <t>Easy</t>
        </is>
      </c>
      <c r="I422" s="33" t="inlineStr">
        <is>
          <t>Olympics.com</t>
        </is>
      </c>
      <c r="J422" s="35" t="n"/>
      <c r="K422" s="33" t="n"/>
      <c r="L422" s="35">
        <f>COUNTIFS($A$2:$A$1501,A422,$D$2:$D$1501,D422)</f>
        <v/>
      </c>
    </row>
    <row r="423" ht="23.85" customHeight="1" s="26">
      <c r="A423" s="35" t="n">
        <v>85</v>
      </c>
      <c r="B423" s="41" t="n">
        <v>46384</v>
      </c>
      <c r="C423" s="35" t="n">
        <v>2</v>
      </c>
      <c r="D423" s="33" t="inlineStr">
        <is>
          <t>Geography</t>
        </is>
      </c>
      <c r="E423" s="36" t="inlineStr">
        <is>
          <t>How many countries share a land border with China?</t>
        </is>
      </c>
      <c r="F423" s="42" t="n">
        <v>14</v>
      </c>
      <c r="G423" s="33" t="inlineStr">
        <is>
          <t>countries</t>
        </is>
      </c>
      <c r="H423" s="35" t="inlineStr">
        <is>
          <t>Medium</t>
        </is>
      </c>
      <c r="I423" s="33" t="inlineStr">
        <is>
          <t>Britannica / national survey agencies</t>
        </is>
      </c>
      <c r="J423" s="35" t="n"/>
      <c r="K423" s="33" t="n"/>
      <c r="L423" s="35">
        <f>COUNTIFS($A$2:$A$1501,A423,$D$2:$D$1501,D423)</f>
        <v/>
      </c>
    </row>
    <row r="424" ht="23.85" customHeight="1" s="26">
      <c r="A424" s="35" t="n">
        <v>85</v>
      </c>
      <c r="B424" s="41" t="n">
        <v>46384</v>
      </c>
      <c r="C424" s="35" t="n">
        <v>3</v>
      </c>
      <c r="D424" s="33" t="inlineStr">
        <is>
          <t>Buildings and Engineering</t>
        </is>
      </c>
      <c r="E424" s="36" t="inlineStr">
        <is>
          <t>How long is the main span of the Golden Gate Bridge?</t>
        </is>
      </c>
      <c r="F424" s="42" t="n">
        <v>1280</v>
      </c>
      <c r="G424" s="33" t="inlineStr">
        <is>
          <t>metres</t>
        </is>
      </c>
      <c r="H424" s="35" t="inlineStr">
        <is>
          <t>Medium</t>
        </is>
      </c>
      <c r="I424" s="33" t="inlineStr">
        <is>
          <t>Golden Gate Bridge District</t>
        </is>
      </c>
      <c r="J424" s="35" t="n"/>
      <c r="K424" s="33" t="n"/>
      <c r="L424" s="35">
        <f>COUNTIFS($A$2:$A$1501,A424,$D$2:$D$1501,D424)</f>
        <v/>
      </c>
    </row>
    <row r="425" ht="23.85" customHeight="1" s="26">
      <c r="A425" s="35" t="n">
        <v>85</v>
      </c>
      <c r="B425" s="41" t="n">
        <v>46384</v>
      </c>
      <c r="C425" s="35" t="n">
        <v>4</v>
      </c>
      <c r="D425" s="33" t="inlineStr">
        <is>
          <t>Canada</t>
        </is>
      </c>
      <c r="E425" s="36" t="inlineStr">
        <is>
          <t>How many lakes are there in Ontario?</t>
        </is>
      </c>
      <c r="F425" s="42" t="n">
        <v>250000</v>
      </c>
      <c r="G425" s="33" t="inlineStr">
        <is>
          <t>lakes</t>
        </is>
      </c>
      <c r="H425" s="35" t="inlineStr">
        <is>
          <t>Medium</t>
        </is>
      </c>
      <c r="I425" s="33" t="inlineStr">
        <is>
          <t>Government of Ontario</t>
        </is>
      </c>
      <c r="J425" s="35" t="n"/>
      <c r="K425" s="33" t="n"/>
      <c r="L425" s="35">
        <f>COUNTIFS($A$2:$A$1501,A425,$D$2:$D$1501,D425)</f>
        <v/>
      </c>
    </row>
    <row r="426" ht="23.85" customHeight="1" s="26">
      <c r="A426" s="35" t="n">
        <v>85</v>
      </c>
      <c r="B426" s="41" t="n">
        <v>46384</v>
      </c>
      <c r="C426" s="35" t="n">
        <v>5</v>
      </c>
      <c r="D426" s="33" t="inlineStr">
        <is>
          <t>Distance of the Day</t>
        </is>
      </c>
      <c r="E426" s="36" t="inlineStr">
        <is>
          <t>How far is it in a straight line from Montreal to Calgary?</t>
        </is>
      </c>
      <c r="F426" s="42" t="n">
        <v>3020</v>
      </c>
      <c r="G426" s="33" t="inlineStr">
        <is>
          <t>km</t>
        </is>
      </c>
      <c r="H426" s="35" t="inlineStr">
        <is>
          <t>Medium</t>
        </is>
      </c>
      <c r="I426" s="33" t="inlineStr">
        <is>
          <t>Computed great-circle distance (city centre to city centre)</t>
        </is>
      </c>
      <c r="J426" s="35" t="n"/>
      <c r="K426" s="33" t="n"/>
      <c r="L426" s="35">
        <f>COUNTIFS($A$2:$A$1501,A426,$D$2:$D$1501,D426)</f>
        <v/>
      </c>
    </row>
    <row r="427" ht="23.85" customHeight="1" s="26">
      <c r="A427" s="43" t="n">
        <v>86</v>
      </c>
      <c r="B427" s="44" t="n">
        <v>46385</v>
      </c>
      <c r="C427" s="43" t="n">
        <v>1</v>
      </c>
      <c r="D427" s="45" t="inlineStr">
        <is>
          <t>Movies, Music and Games</t>
        </is>
      </c>
      <c r="E427" s="46" t="inlineStr">
        <is>
          <t>How many songs did The Beatles take to number one on the US Billboard Hot 100?</t>
        </is>
      </c>
      <c r="F427" s="47" t="n">
        <v>20</v>
      </c>
      <c r="G427" s="45" t="inlineStr">
        <is>
          <t>songs</t>
        </is>
      </c>
      <c r="H427" s="43" t="inlineStr">
        <is>
          <t>Medium</t>
        </is>
      </c>
      <c r="I427" s="45" t="inlineStr">
        <is>
          <t>Billboard</t>
        </is>
      </c>
      <c r="J427" s="43" t="n"/>
      <c r="K427" s="45" t="n"/>
      <c r="L427" s="43">
        <f>COUNTIFS($A$2:$A$1501,A427,$D$2:$D$1501,D427)</f>
        <v/>
      </c>
    </row>
    <row r="428" ht="23.85" customHeight="1" s="26">
      <c r="A428" s="43" t="n">
        <v>86</v>
      </c>
      <c r="B428" s="44" t="n">
        <v>46385</v>
      </c>
      <c r="C428" s="43" t="n">
        <v>2</v>
      </c>
      <c r="D428" s="45" t="inlineStr">
        <is>
          <t>History</t>
        </is>
      </c>
      <c r="E428" s="46" t="inlineStr">
        <is>
          <t>How many people watched the Apollo 11 Moon landing on TV?</t>
        </is>
      </c>
      <c r="F428" s="47" t="n">
        <v>600</v>
      </c>
      <c r="G428" s="45" t="inlineStr">
        <is>
          <t>million people</t>
        </is>
      </c>
      <c r="H428" s="43" t="inlineStr">
        <is>
          <t>Medium</t>
        </is>
      </c>
      <c r="I428" s="45" t="inlineStr">
        <is>
          <t>Britannica / national archives</t>
        </is>
      </c>
      <c r="J428" s="43" t="n"/>
      <c r="K428" s="45" t="n"/>
      <c r="L428" s="43">
        <f>COUNTIFS($A$2:$A$1501,A428,$D$2:$D$1501,D428)</f>
        <v/>
      </c>
    </row>
    <row r="429" ht="23.85" customHeight="1" s="26">
      <c r="A429" s="43" t="n">
        <v>86</v>
      </c>
      <c r="B429" s="44" t="n">
        <v>46385</v>
      </c>
      <c r="C429" s="43" t="n">
        <v>3</v>
      </c>
      <c r="D429" s="45" t="inlineStr">
        <is>
          <t>Human Body</t>
        </is>
      </c>
      <c r="E429" s="46" t="inlineStr">
        <is>
          <t>How many bones are in the human hand and wrist?</t>
        </is>
      </c>
      <c r="F429" s="47" t="n">
        <v>27</v>
      </c>
      <c r="G429" s="45" t="inlineStr">
        <is>
          <t>bones</t>
        </is>
      </c>
      <c r="H429" s="43" t="inlineStr">
        <is>
          <t>Medium</t>
        </is>
      </c>
      <c r="I429" s="45" t="inlineStr">
        <is>
          <t>Cleveland Clinic / NIH / Guinness World Records</t>
        </is>
      </c>
      <c r="J429" s="43" t="n"/>
      <c r="K429" s="45" t="n"/>
      <c r="L429" s="43">
        <f>COUNTIFS($A$2:$A$1501,A429,$D$2:$D$1501,D429)</f>
        <v/>
      </c>
    </row>
    <row r="430" ht="23.85" customHeight="1" s="26">
      <c r="A430" s="43" t="n">
        <v>86</v>
      </c>
      <c r="B430" s="44" t="n">
        <v>46385</v>
      </c>
      <c r="C430" s="43" t="n">
        <v>4</v>
      </c>
      <c r="D430" s="45" t="inlineStr">
        <is>
          <t>Space and Science</t>
        </is>
      </c>
      <c r="E430" s="46" t="inlineStr">
        <is>
          <t>What is the Sun's diameter?</t>
        </is>
      </c>
      <c r="F430" s="47" t="n">
        <v>1391000</v>
      </c>
      <c r="G430" s="45" t="inlineStr">
        <is>
          <t>km</t>
        </is>
      </c>
      <c r="H430" s="43" t="inlineStr">
        <is>
          <t>Hard</t>
        </is>
      </c>
      <c r="I430" s="45" t="inlineStr">
        <is>
          <t>NASA</t>
        </is>
      </c>
      <c r="J430" s="43" t="n"/>
      <c r="K430" s="45" t="n"/>
      <c r="L430" s="43">
        <f>COUNTIFS($A$2:$A$1501,A430,$D$2:$D$1501,D430)</f>
        <v/>
      </c>
    </row>
    <row r="431" ht="23.85" customHeight="1" s="26">
      <c r="A431" s="43" t="n">
        <v>86</v>
      </c>
      <c r="B431" s="44" t="n">
        <v>46385</v>
      </c>
      <c r="C431" s="43" t="n">
        <v>5</v>
      </c>
      <c r="D431" s="45" t="inlineStr">
        <is>
          <t>Distance of the Day</t>
        </is>
      </c>
      <c r="E431" s="46" t="inlineStr">
        <is>
          <t>How far is it in a straight line from Chicago to Buenos Aires?</t>
        </is>
      </c>
      <c r="F431" s="47" t="n">
        <v>9010</v>
      </c>
      <c r="G431" s="45" t="inlineStr">
        <is>
          <t>km</t>
        </is>
      </c>
      <c r="H431" s="43" t="inlineStr">
        <is>
          <t>Hard</t>
        </is>
      </c>
      <c r="I431" s="45" t="inlineStr">
        <is>
          <t>Computed great-circle distance (city centre to city centre)</t>
        </is>
      </c>
      <c r="J431" s="43" t="n"/>
      <c r="K431" s="45" t="n"/>
      <c r="L431" s="43">
        <f>COUNTIFS($A$2:$A$1501,A431,$D$2:$D$1501,D431)</f>
        <v/>
      </c>
    </row>
    <row r="432" ht="23.85" customHeight="1" s="26">
      <c r="A432" s="35" t="n">
        <v>87</v>
      </c>
      <c r="B432" s="41" t="n">
        <v>46386</v>
      </c>
      <c r="C432" s="35" t="n">
        <v>1</v>
      </c>
      <c r="D432" s="33" t="inlineStr">
        <is>
          <t>Food and Everyday Life</t>
        </is>
      </c>
      <c r="E432" s="36" t="inlineStr">
        <is>
          <t>How many steps does it take the average adult to walk 1 km?</t>
        </is>
      </c>
      <c r="F432" s="42" t="n">
        <v>1300</v>
      </c>
      <c r="G432" s="33" t="inlineStr">
        <is>
          <t>steps</t>
        </is>
      </c>
      <c r="H432" s="35" t="inlineStr">
        <is>
          <t>Medium</t>
        </is>
      </c>
      <c r="I432" s="33" t="inlineStr">
        <is>
          <t>Food industry bodies / USDA / Water Footprint Network</t>
        </is>
      </c>
      <c r="J432" s="35" t="n"/>
      <c r="K432" s="33" t="n"/>
      <c r="L432" s="35">
        <f>COUNTIFS($A$2:$A$1501,A432,$D$2:$D$1501,D432)</f>
        <v/>
      </c>
    </row>
    <row r="433" ht="23.85" customHeight="1" s="26">
      <c r="A433" s="35" t="n">
        <v>87</v>
      </c>
      <c r="B433" s="41" t="n">
        <v>46386</v>
      </c>
      <c r="C433" s="35" t="n">
        <v>2</v>
      </c>
      <c r="D433" s="33" t="inlineStr">
        <is>
          <t>Geography</t>
        </is>
      </c>
      <c r="E433" s="36" t="inlineStr">
        <is>
          <t>How big is Russia?</t>
        </is>
      </c>
      <c r="F433" s="42" t="n">
        <v>17098246</v>
      </c>
      <c r="G433" s="33" t="inlineStr">
        <is>
          <t>km²</t>
        </is>
      </c>
      <c r="H433" s="35" t="inlineStr">
        <is>
          <t>Hard</t>
        </is>
      </c>
      <c r="I433" s="33" t="inlineStr">
        <is>
          <t>Britannica / national survey agencies</t>
        </is>
      </c>
      <c r="J433" s="35" t="n"/>
      <c r="K433" s="33" t="n"/>
      <c r="L433" s="35">
        <f>COUNTIFS($A$2:$A$1501,A433,$D$2:$D$1501,D433)</f>
        <v/>
      </c>
    </row>
    <row r="434" ht="23.85" customHeight="1" s="26">
      <c r="A434" s="35" t="n">
        <v>87</v>
      </c>
      <c r="B434" s="41" t="n">
        <v>46386</v>
      </c>
      <c r="C434" s="35" t="n">
        <v>3</v>
      </c>
      <c r="D434" s="33" t="inlineStr">
        <is>
          <t>Animals and Nature</t>
        </is>
      </c>
      <c r="E434" s="36" t="inlineStr">
        <is>
          <t>How many days is an African elephant pregnant for?</t>
        </is>
      </c>
      <c r="F434" s="42" t="n">
        <v>650</v>
      </c>
      <c r="G434" s="33" t="inlineStr">
        <is>
          <t>days</t>
        </is>
      </c>
      <c r="H434" s="35" t="inlineStr">
        <is>
          <t>Hard</t>
        </is>
      </c>
      <c r="I434" s="33" t="inlineStr">
        <is>
          <t>Britannica / National Geographic / Guinness World Records</t>
        </is>
      </c>
      <c r="J434" s="35" t="n"/>
      <c r="K434" s="33" t="n"/>
      <c r="L434" s="35">
        <f>COUNTIFS($A$2:$A$1501,A434,$D$2:$D$1501,D434)</f>
        <v/>
      </c>
    </row>
    <row r="435" ht="23.85" customHeight="1" s="26">
      <c r="A435" s="35" t="n">
        <v>87</v>
      </c>
      <c r="B435" s="41" t="n">
        <v>46386</v>
      </c>
      <c r="C435" s="35" t="n">
        <v>4</v>
      </c>
      <c r="D435" s="33" t="inlineStr">
        <is>
          <t>Buildings and Engineering</t>
        </is>
      </c>
      <c r="E435" s="36" t="inlineStr">
        <is>
          <t>How long is the main span of the Brooklyn Bridge?</t>
        </is>
      </c>
      <c r="F435" s="42" t="n">
        <v>486</v>
      </c>
      <c r="G435" s="33" t="inlineStr">
        <is>
          <t>metres</t>
        </is>
      </c>
      <c r="H435" s="35" t="inlineStr">
        <is>
          <t>Hard</t>
        </is>
      </c>
      <c r="I435" s="33" t="inlineStr">
        <is>
          <t>Official operator sites / CTBUH / Britannica</t>
        </is>
      </c>
      <c r="J435" s="35" t="n"/>
      <c r="K435" s="33" t="n"/>
      <c r="L435" s="35">
        <f>COUNTIFS($A$2:$A$1501,A435,$D$2:$D$1501,D435)</f>
        <v/>
      </c>
    </row>
    <row r="436" ht="23.85" customHeight="1" s="26">
      <c r="A436" s="35" t="n">
        <v>87</v>
      </c>
      <c r="B436" s="41" t="n">
        <v>46386</v>
      </c>
      <c r="C436" s="35" t="n">
        <v>5</v>
      </c>
      <c r="D436" s="33" t="inlineStr">
        <is>
          <t>Distance of the Day</t>
        </is>
      </c>
      <c r="E436" s="36" t="inlineStr">
        <is>
          <t>How far is it in a straight line from Whitehorse to Cairo?</t>
        </is>
      </c>
      <c r="F436" s="42" t="n">
        <v>9850</v>
      </c>
      <c r="G436" s="33" t="inlineStr">
        <is>
          <t>km</t>
        </is>
      </c>
      <c r="H436" s="35" t="inlineStr">
        <is>
          <t>Hard</t>
        </is>
      </c>
      <c r="I436" s="33" t="inlineStr">
        <is>
          <t>Computed great-circle distance (city centre to city centre)</t>
        </is>
      </c>
      <c r="J436" s="35" t="n"/>
      <c r="K436" s="33" t="n"/>
      <c r="L436" s="35">
        <f>COUNTIFS($A$2:$A$1501,A436,$D$2:$D$1501,D436)</f>
        <v/>
      </c>
    </row>
    <row r="437" ht="23.85" customHeight="1" s="26">
      <c r="A437" s="43" t="n">
        <v>88</v>
      </c>
      <c r="B437" s="44" t="n">
        <v>46387</v>
      </c>
      <c r="C437" s="43" t="n">
        <v>1</v>
      </c>
      <c r="D437" s="45" t="inlineStr">
        <is>
          <t>Canada</t>
        </is>
      </c>
      <c r="E437" s="46" t="inlineStr">
        <is>
          <t>How tall is the CN Tower?</t>
        </is>
      </c>
      <c r="F437" s="47" t="n">
        <v>553</v>
      </c>
      <c r="G437" s="45" t="inlineStr">
        <is>
          <t>metres</t>
        </is>
      </c>
      <c r="H437" s="43" t="inlineStr">
        <is>
          <t>Easy</t>
        </is>
      </c>
      <c r="I437" s="45" t="inlineStr">
        <is>
          <t>CN Tower</t>
        </is>
      </c>
      <c r="J437" s="43" t="n"/>
      <c r="K437" s="45" t="n"/>
      <c r="L437" s="43">
        <f>COUNTIFS($A$2:$A$1501,A437,$D$2:$D$1501,D437)</f>
        <v/>
      </c>
    </row>
    <row r="438" ht="23.85" customHeight="1" s="26">
      <c r="A438" s="43" t="n">
        <v>88</v>
      </c>
      <c r="B438" s="44" t="n">
        <v>46387</v>
      </c>
      <c r="C438" s="43" t="n">
        <v>2</v>
      </c>
      <c r="D438" s="45" t="inlineStr">
        <is>
          <t>Movies, Music and Games</t>
        </is>
      </c>
      <c r="E438" s="46" t="inlineStr">
        <is>
          <t>How long is Led Zeppelin's Stairway to Heaven?</t>
        </is>
      </c>
      <c r="F438" s="47" t="n">
        <v>482</v>
      </c>
      <c r="G438" s="45" t="inlineStr">
        <is>
          <t>seconds</t>
        </is>
      </c>
      <c r="H438" s="43" t="inlineStr">
        <is>
          <t>Medium</t>
        </is>
      </c>
      <c r="I438" s="45" t="inlineStr">
        <is>
          <t>IMDb / official records / Guinness World Records</t>
        </is>
      </c>
      <c r="J438" s="43" t="n"/>
      <c r="K438" s="45" t="n"/>
      <c r="L438" s="43">
        <f>COUNTIFS($A$2:$A$1501,A438,$D$2:$D$1501,D438)</f>
        <v/>
      </c>
    </row>
    <row r="439" ht="23.85" customHeight="1" s="26">
      <c r="A439" s="43" t="n">
        <v>88</v>
      </c>
      <c r="B439" s="44" t="n">
        <v>46387</v>
      </c>
      <c r="C439" s="43" t="n">
        <v>3</v>
      </c>
      <c r="D439" s="45" t="inlineStr">
        <is>
          <t>Human Body</t>
        </is>
      </c>
      <c r="E439" s="46" t="inlineStr">
        <is>
          <t>How many breaths does an adult take in a day?</t>
        </is>
      </c>
      <c r="F439" s="47" t="n">
        <v>22000</v>
      </c>
      <c r="G439" s="45" t="inlineStr">
        <is>
          <t>breaths</t>
        </is>
      </c>
      <c r="H439" s="43" t="inlineStr">
        <is>
          <t>Medium</t>
        </is>
      </c>
      <c r="I439" s="45" t="inlineStr">
        <is>
          <t>Cleveland Clinic / NIH / Guinness World Records</t>
        </is>
      </c>
      <c r="J439" s="43" t="n"/>
      <c r="K439" s="45" t="n"/>
      <c r="L439" s="43">
        <f>COUNTIFS($A$2:$A$1501,A439,$D$2:$D$1501,D439)</f>
        <v/>
      </c>
    </row>
    <row r="440" ht="23.85" customHeight="1" s="26">
      <c r="A440" s="43" t="n">
        <v>88</v>
      </c>
      <c r="B440" s="44" t="n">
        <v>46387</v>
      </c>
      <c r="C440" s="43" t="n">
        <v>4</v>
      </c>
      <c r="D440" s="45" t="inlineStr">
        <is>
          <t>Sports</t>
        </is>
      </c>
      <c r="E440" s="46" t="inlineStr">
        <is>
          <t>How many regular-season passing yards did Tom Brady throw for in his NFL career?</t>
        </is>
      </c>
      <c r="F440" s="47" t="n">
        <v>89214</v>
      </c>
      <c r="G440" s="45" t="inlineStr">
        <is>
          <t>yards</t>
        </is>
      </c>
      <c r="H440" s="43" t="inlineStr">
        <is>
          <t>Hard</t>
        </is>
      </c>
      <c r="I440" s="45" t="inlineStr">
        <is>
          <t>NFL.com</t>
        </is>
      </c>
      <c r="J440" s="43" t="n"/>
      <c r="K440" s="45" t="n"/>
      <c r="L440" s="43">
        <f>COUNTIFS($A$2:$A$1501,A440,$D$2:$D$1501,D440)</f>
        <v/>
      </c>
    </row>
    <row r="441" ht="23.85" customHeight="1" s="26">
      <c r="A441" s="43" t="n">
        <v>88</v>
      </c>
      <c r="B441" s="44" t="n">
        <v>46387</v>
      </c>
      <c r="C441" s="43" t="n">
        <v>5</v>
      </c>
      <c r="D441" s="45" t="inlineStr">
        <is>
          <t>Distance of the Day</t>
        </is>
      </c>
      <c r="E441" s="46" t="inlineStr">
        <is>
          <t>How far is it in a straight line from Mecca to Singapore?</t>
        </is>
      </c>
      <c r="F441" s="47" t="n">
        <v>7270</v>
      </c>
      <c r="G441" s="45" t="inlineStr">
        <is>
          <t>km</t>
        </is>
      </c>
      <c r="H441" s="43" t="inlineStr">
        <is>
          <t>Medium</t>
        </is>
      </c>
      <c r="I441" s="45" t="inlineStr">
        <is>
          <t>Computed great-circle distance (city centre to city centre)</t>
        </is>
      </c>
      <c r="J441" s="43" t="n"/>
      <c r="K441" s="45" t="n"/>
      <c r="L441" s="43">
        <f>COUNTIFS($A$2:$A$1501,A441,$D$2:$D$1501,D441)</f>
        <v/>
      </c>
    </row>
    <row r="442" ht="23.85" customHeight="1" s="26">
      <c r="A442" s="35" t="n">
        <v>89</v>
      </c>
      <c r="B442" s="41" t="n">
        <v>46388</v>
      </c>
      <c r="C442" s="35" t="n">
        <v>1</v>
      </c>
      <c r="D442" s="33" t="inlineStr">
        <is>
          <t>Geography</t>
        </is>
      </c>
      <c r="E442" s="36" t="inlineStr">
        <is>
          <t>How many countries are in Africa?</t>
        </is>
      </c>
      <c r="F442" s="42" t="n">
        <v>54</v>
      </c>
      <c r="G442" s="33" t="inlineStr">
        <is>
          <t>countries</t>
        </is>
      </c>
      <c r="H442" s="35" t="inlineStr">
        <is>
          <t>Easy</t>
        </is>
      </c>
      <c r="I442" s="33" t="inlineStr">
        <is>
          <t>United Nations</t>
        </is>
      </c>
      <c r="J442" s="35" t="n"/>
      <c r="K442" s="33" t="n"/>
      <c r="L442" s="35">
        <f>COUNTIFS($A$2:$A$1501,A442,$D$2:$D$1501,D442)</f>
        <v/>
      </c>
    </row>
    <row r="443" ht="23.85" customHeight="1" s="26">
      <c r="A443" s="35" t="n">
        <v>89</v>
      </c>
      <c r="B443" s="41" t="n">
        <v>46388</v>
      </c>
      <c r="C443" s="35" t="n">
        <v>2</v>
      </c>
      <c r="D443" s="33" t="inlineStr">
        <is>
          <t>Animals and Nature</t>
        </is>
      </c>
      <c r="E443" s="36" t="inlineStr">
        <is>
          <t>How many legs does the leggiest millipede ever found have?</t>
        </is>
      </c>
      <c r="F443" s="42" t="n">
        <v>1306</v>
      </c>
      <c r="G443" s="33" t="inlineStr">
        <is>
          <t>legs</t>
        </is>
      </c>
      <c r="H443" s="35" t="inlineStr">
        <is>
          <t>Medium</t>
        </is>
      </c>
      <c r="I443" s="33" t="inlineStr">
        <is>
          <t>Scientific Reports (2021)</t>
        </is>
      </c>
      <c r="J443" s="35" t="n"/>
      <c r="K443" s="33" t="n"/>
      <c r="L443" s="35">
        <f>COUNTIFS($A$2:$A$1501,A443,$D$2:$D$1501,D443)</f>
        <v/>
      </c>
    </row>
    <row r="444" ht="23.85" customHeight="1" s="26">
      <c r="A444" s="35" t="n">
        <v>89</v>
      </c>
      <c r="B444" s="41" t="n">
        <v>46388</v>
      </c>
      <c r="C444" s="35" t="n">
        <v>3</v>
      </c>
      <c r="D444" s="33" t="inlineStr">
        <is>
          <t>History</t>
        </is>
      </c>
      <c r="E444" s="36" t="inlineStr">
        <is>
          <t>How many years did the Byzantine Empire last, from the founding of Constantinople to its fall?</t>
        </is>
      </c>
      <c r="F444" s="42" t="n">
        <v>1123</v>
      </c>
      <c r="G444" s="33" t="inlineStr">
        <is>
          <t>years</t>
        </is>
      </c>
      <c r="H444" s="35" t="inlineStr">
        <is>
          <t>Hard</t>
        </is>
      </c>
      <c r="I444" s="33" t="inlineStr">
        <is>
          <t>Britannica / national archives</t>
        </is>
      </c>
      <c r="J444" s="35" t="n"/>
      <c r="K444" s="33" t="n"/>
      <c r="L444" s="35">
        <f>COUNTIFS($A$2:$A$1501,A444,$D$2:$D$1501,D444)</f>
        <v/>
      </c>
    </row>
    <row r="445" ht="23.85" customHeight="1" s="26">
      <c r="A445" s="35" t="n">
        <v>89</v>
      </c>
      <c r="B445" s="41" t="n">
        <v>46388</v>
      </c>
      <c r="C445" s="35" t="n">
        <v>4</v>
      </c>
      <c r="D445" s="33" t="inlineStr">
        <is>
          <t>Space and Science</t>
        </is>
      </c>
      <c r="E445" s="36" t="inlineStr">
        <is>
          <t>What is the atomic number of lead?</t>
        </is>
      </c>
      <c r="F445" s="42" t="n">
        <v>82</v>
      </c>
      <c r="G445" s="33" t="n"/>
      <c r="H445" s="35" t="inlineStr">
        <is>
          <t>Hard</t>
        </is>
      </c>
      <c r="I445" s="33" t="inlineStr">
        <is>
          <t>IUPAC</t>
        </is>
      </c>
      <c r="J445" s="35" t="n"/>
      <c r="K445" s="33" t="n"/>
      <c r="L445" s="35">
        <f>COUNTIFS($A$2:$A$1501,A445,$D$2:$D$1501,D445)</f>
        <v/>
      </c>
    </row>
    <row r="446" ht="23.85" customHeight="1" s="26">
      <c r="A446" s="35" t="n">
        <v>89</v>
      </c>
      <c r="B446" s="41" t="n">
        <v>46388</v>
      </c>
      <c r="C446" s="35" t="n">
        <v>5</v>
      </c>
      <c r="D446" s="33" t="inlineStr">
        <is>
          <t>Distance of the Day</t>
        </is>
      </c>
      <c r="E446" s="36" t="inlineStr">
        <is>
          <t>How far is it in a straight line from Iqaluit to Madrid?</t>
        </is>
      </c>
      <c r="F446" s="42" t="n">
        <v>4840</v>
      </c>
      <c r="G446" s="33" t="inlineStr">
        <is>
          <t>km</t>
        </is>
      </c>
      <c r="H446" s="35" t="inlineStr">
        <is>
          <t>Medium</t>
        </is>
      </c>
      <c r="I446" s="33" t="inlineStr">
        <is>
          <t>Computed great-circle distance (city centre to city centre)</t>
        </is>
      </c>
      <c r="J446" s="35" t="n"/>
      <c r="K446" s="33" t="n"/>
      <c r="L446" s="35">
        <f>COUNTIFS($A$2:$A$1501,A446,$D$2:$D$1501,D446)</f>
        <v/>
      </c>
    </row>
    <row r="447">
      <c r="A447" s="35" t="n">
        <v>90</v>
      </c>
      <c r="B447" s="41" t="n">
        <v>46389</v>
      </c>
      <c r="C447" s="35" t="n">
        <v>1</v>
      </c>
      <c r="D447" s="33" t="inlineStr">
        <is>
          <t>Sports</t>
        </is>
      </c>
      <c r="E447" s="36" t="inlineStr">
        <is>
          <t>How many bases are on a baseball diamond, including home plate?</t>
        </is>
      </c>
      <c r="F447" s="42" t="n">
        <v>4</v>
      </c>
      <c r="G447" s="33" t="inlineStr">
        <is>
          <t>bases</t>
        </is>
      </c>
      <c r="H447" s="35" t="inlineStr">
        <is>
          <t>Easy</t>
        </is>
      </c>
      <c r="I447" s="33" t="inlineStr">
        <is>
          <t>MLB rulebook</t>
        </is>
      </c>
      <c r="J447" s="35" t="n"/>
      <c r="K447" s="33" t="inlineStr">
        <is>
          <t>Added Oct 2026. Spot check before this day goes live.</t>
        </is>
      </c>
      <c r="L447" s="35">
        <f>COUNTIFS($A$2:$A$1501,A447,$D$2:$D$1501,D447)</f>
        <v/>
      </c>
    </row>
    <row r="448">
      <c r="A448" s="35" t="n">
        <v>90</v>
      </c>
      <c r="B448" s="41" t="n">
        <v>46389</v>
      </c>
      <c r="C448" s="35" t="n">
        <v>2</v>
      </c>
      <c r="D448" s="33" t="inlineStr">
        <is>
          <t>Space and Science</t>
        </is>
      </c>
      <c r="E448" s="36" t="inlineStr">
        <is>
          <t>How old is the Sun?</t>
        </is>
      </c>
      <c r="F448" s="42" t="n">
        <v>4.6</v>
      </c>
      <c r="G448" s="33" t="inlineStr">
        <is>
          <t>billion years</t>
        </is>
      </c>
      <c r="H448" s="35" t="inlineStr">
        <is>
          <t>Medium</t>
        </is>
      </c>
      <c r="I448" s="33" t="inlineStr">
        <is>
          <t>NASA</t>
        </is>
      </c>
      <c r="J448" s="35" t="n"/>
      <c r="K448" s="33" t="inlineStr">
        <is>
          <t>Added Oct 2026. Spot check before this day goes live.</t>
        </is>
      </c>
      <c r="L448" s="35">
        <f>COUNTIFS($A$2:$A$1501,A448,$D$2:$D$1501,D448)</f>
        <v/>
      </c>
    </row>
    <row r="449">
      <c r="A449" s="35" t="n">
        <v>90</v>
      </c>
      <c r="B449" s="41" t="n">
        <v>46389</v>
      </c>
      <c r="C449" s="35" t="n">
        <v>3</v>
      </c>
      <c r="D449" s="33" t="inlineStr">
        <is>
          <t>Movies, Music and Games</t>
        </is>
      </c>
      <c r="E449" s="36" t="inlineStr">
        <is>
          <t>How long is Spider-Man: No Way Home?</t>
        </is>
      </c>
      <c r="F449" s="42" t="n">
        <v>148</v>
      </c>
      <c r="G449" s="33" t="inlineStr">
        <is>
          <t>minutes</t>
        </is>
      </c>
      <c r="H449" s="35" t="inlineStr">
        <is>
          <t>Medium</t>
        </is>
      </c>
      <c r="I449" s="33" t="inlineStr">
        <is>
          <t>IMDb</t>
        </is>
      </c>
      <c r="J449" s="35" t="n"/>
      <c r="K449" s="33" t="inlineStr">
        <is>
          <t>Added Oct 2026. Spot check before this day goes live.</t>
        </is>
      </c>
      <c r="L449" s="35">
        <f>COUNTIFS($A$2:$A$1501,A449,$D$2:$D$1501,D449)</f>
        <v/>
      </c>
    </row>
    <row r="450">
      <c r="A450" s="35" t="n">
        <v>90</v>
      </c>
      <c r="B450" s="41" t="n">
        <v>46389</v>
      </c>
      <c r="C450" s="35" t="n">
        <v>4</v>
      </c>
      <c r="D450" s="33" t="inlineStr">
        <is>
          <t>Geography</t>
        </is>
      </c>
      <c r="E450" s="36" t="inlineStr">
        <is>
          <t>How tall are the Iguazu Falls at their highest?</t>
        </is>
      </c>
      <c r="F450" s="42" t="n">
        <v>82</v>
      </c>
      <c r="G450" s="33" t="inlineStr">
        <is>
          <t>metres</t>
        </is>
      </c>
      <c r="H450" s="35" t="inlineStr">
        <is>
          <t>Hard</t>
        </is>
      </c>
      <c r="I450" s="33" t="inlineStr">
        <is>
          <t>UNESCO</t>
        </is>
      </c>
      <c r="J450" s="35" t="n"/>
      <c r="K450" s="33" t="inlineStr">
        <is>
          <t>Added Oct 2026. Spot check before this day goes live.</t>
        </is>
      </c>
      <c r="L450" s="35">
        <f>COUNTIFS($A$2:$A$1501,A450,$D$2:$D$1501,D450)</f>
        <v/>
      </c>
    </row>
    <row r="451">
      <c r="A451" s="35" t="n">
        <v>90</v>
      </c>
      <c r="B451" s="41" t="n">
        <v>46389</v>
      </c>
      <c r="C451" s="35" t="n">
        <v>5</v>
      </c>
      <c r="D451" s="33" t="inlineStr">
        <is>
          <t>Distance of the Day</t>
        </is>
      </c>
      <c r="E451" s="36" t="inlineStr">
        <is>
          <t>How far is it in a straight line from New Orleans to Oslo?</t>
        </is>
      </c>
      <c r="F451" s="42" t="n">
        <v>7730</v>
      </c>
      <c r="G451" s="33" t="inlineStr">
        <is>
          <t>km</t>
        </is>
      </c>
      <c r="H451" s="35" t="inlineStr">
        <is>
          <t>Medium</t>
        </is>
      </c>
      <c r="I451" s="33" t="inlineStr">
        <is>
          <t>Computed great-circle distance (city centre to city centre)</t>
        </is>
      </c>
      <c r="J451" s="35" t="n"/>
      <c r="K451" s="33" t="n"/>
      <c r="L451" s="35">
        <f>COUNTIFS($A$2:$A$1501,A451,$D$2:$D$1501,D451)</f>
        <v/>
      </c>
    </row>
    <row r="452">
      <c r="A452" s="35" t="n">
        <v>91</v>
      </c>
      <c r="B452" s="41" t="n">
        <v>46390</v>
      </c>
      <c r="C452" s="35" t="n">
        <v>1</v>
      </c>
      <c r="D452" s="33" t="inlineStr">
        <is>
          <t>Food and Everyday Life</t>
        </is>
      </c>
      <c r="E452" s="36" t="inlineStr">
        <is>
          <t>How cold should a home freezer be, in degrees below zero?</t>
        </is>
      </c>
      <c r="F452" s="42" t="n">
        <v>18</v>
      </c>
      <c r="G452" s="33" t="inlineStr">
        <is>
          <t>°C</t>
        </is>
      </c>
      <c r="H452" s="35" t="inlineStr">
        <is>
          <t>Medium</t>
        </is>
      </c>
      <c r="I452" s="33" t="inlineStr">
        <is>
          <t>Health Canada</t>
        </is>
      </c>
      <c r="J452" s="35" t="n"/>
      <c r="K452" s="33" t="inlineStr">
        <is>
          <t>Added Oct 2026. Spot check before this day goes live.</t>
        </is>
      </c>
      <c r="L452" s="35">
        <f>COUNTIFS($A$2:$A$1501,A452,$D$2:$D$1501,D452)</f>
        <v/>
      </c>
    </row>
    <row r="453">
      <c r="A453" s="35" t="n">
        <v>91</v>
      </c>
      <c r="B453" s="41" t="n">
        <v>46390</v>
      </c>
      <c r="C453" s="35" t="n">
        <v>2</v>
      </c>
      <c r="D453" s="33" t="inlineStr">
        <is>
          <t>Animals and Nature</t>
        </is>
      </c>
      <c r="E453" s="36" t="inlineStr">
        <is>
          <t>How long can a Komodo dragon grow?</t>
        </is>
      </c>
      <c r="F453" s="42" t="n">
        <v>3</v>
      </c>
      <c r="G453" s="33" t="inlineStr">
        <is>
          <t>metres</t>
        </is>
      </c>
      <c r="H453" s="35" t="inlineStr">
        <is>
          <t>Medium</t>
        </is>
      </c>
      <c r="I453" s="33" t="inlineStr">
        <is>
          <t>Smithsonian National Zoo</t>
        </is>
      </c>
      <c r="J453" s="35" t="n"/>
      <c r="K453" s="33" t="inlineStr">
        <is>
          <t>Added Oct 2026. Spot check before this day goes live.</t>
        </is>
      </c>
      <c r="L453" s="35">
        <f>COUNTIFS($A$2:$A$1501,A453,$D$2:$D$1501,D453)</f>
        <v/>
      </c>
    </row>
    <row r="454">
      <c r="A454" s="35" t="n">
        <v>91</v>
      </c>
      <c r="B454" s="41" t="n">
        <v>46390</v>
      </c>
      <c r="C454" s="35" t="n">
        <v>3</v>
      </c>
      <c r="D454" s="33" t="inlineStr">
        <is>
          <t>History</t>
        </is>
      </c>
      <c r="E454" s="36" t="inlineStr">
        <is>
          <t>How many days did the Battle of Stalingrad last, roughly?</t>
        </is>
      </c>
      <c r="F454" s="42" t="n">
        <v>200</v>
      </c>
      <c r="G454" s="33" t="inlineStr">
        <is>
          <t>days</t>
        </is>
      </c>
      <c r="H454" s="35" t="inlineStr">
        <is>
          <t>Hard</t>
        </is>
      </c>
      <c r="I454" s="33" t="inlineStr">
        <is>
          <t>Britannica</t>
        </is>
      </c>
      <c r="J454" s="35" t="n"/>
      <c r="K454" s="33" t="inlineStr">
        <is>
          <t>Added Oct 2026. Spot check before this day goes live.</t>
        </is>
      </c>
      <c r="L454" s="35">
        <f>COUNTIFS($A$2:$A$1501,A454,$D$2:$D$1501,D454)</f>
        <v/>
      </c>
    </row>
    <row r="455">
      <c r="A455" s="35" t="n">
        <v>91</v>
      </c>
      <c r="B455" s="41" t="n">
        <v>46390</v>
      </c>
      <c r="C455" s="35" t="n">
        <v>4</v>
      </c>
      <c r="D455" s="33" t="inlineStr">
        <is>
          <t>Buildings and Engineering</t>
        </is>
      </c>
      <c r="E455" s="36" t="inlineStr">
        <is>
          <t>How long is the Tsing Ma Bridge's main span in Hong Kong?</t>
        </is>
      </c>
      <c r="F455" s="42" t="n">
        <v>1377</v>
      </c>
      <c r="G455" s="33" t="inlineStr">
        <is>
          <t>metres</t>
        </is>
      </c>
      <c r="H455" s="35" t="inlineStr">
        <is>
          <t>Hard</t>
        </is>
      </c>
      <c r="I455" s="33" t="inlineStr">
        <is>
          <t>Hong Kong Highways Department</t>
        </is>
      </c>
      <c r="J455" s="35" t="n"/>
      <c r="K455" s="33" t="inlineStr">
        <is>
          <t>Added Oct 2026. Spot check before this day goes live.</t>
        </is>
      </c>
      <c r="L455" s="35">
        <f>COUNTIFS($A$2:$A$1501,A455,$D$2:$D$1501,D455)</f>
        <v/>
      </c>
    </row>
    <row r="456">
      <c r="A456" s="35" t="n">
        <v>91</v>
      </c>
      <c r="B456" s="41" t="n">
        <v>46390</v>
      </c>
      <c r="C456" s="35" t="n">
        <v>5</v>
      </c>
      <c r="D456" s="33" t="inlineStr">
        <is>
          <t>Distance of the Day</t>
        </is>
      </c>
      <c r="E456" s="36" t="inlineStr">
        <is>
          <t>How far is it in a straight line from Victoria to Addis Ababa?</t>
        </is>
      </c>
      <c r="F456" s="42" t="n">
        <v>13390</v>
      </c>
      <c r="G456" s="33" t="inlineStr">
        <is>
          <t>km</t>
        </is>
      </c>
      <c r="H456" s="35" t="inlineStr">
        <is>
          <t>Hard</t>
        </is>
      </c>
      <c r="I456" s="33" t="inlineStr">
        <is>
          <t>Computed great-circle distance (city centre to city centre)</t>
        </is>
      </c>
      <c r="J456" s="35" t="n"/>
      <c r="K456" s="33" t="n"/>
      <c r="L456" s="35">
        <f>COUNTIFS($A$2:$A$1501,A456,$D$2:$D$1501,D456)</f>
        <v/>
      </c>
    </row>
    <row r="457">
      <c r="A457" s="35" t="n">
        <v>92</v>
      </c>
      <c r="B457" s="41" t="n">
        <v>46391</v>
      </c>
      <c r="C457" s="35" t="n">
        <v>1</v>
      </c>
      <c r="D457" s="33" t="inlineStr">
        <is>
          <t>Sports</t>
        </is>
      </c>
      <c r="E457" s="36" t="inlineStr">
        <is>
          <t>How many minutes long is a round in professional boxing?</t>
        </is>
      </c>
      <c r="F457" s="42" t="n">
        <v>3</v>
      </c>
      <c r="G457" s="33" t="inlineStr">
        <is>
          <t>minutes</t>
        </is>
      </c>
      <c r="H457" s="35" t="inlineStr">
        <is>
          <t>Easy</t>
        </is>
      </c>
      <c r="I457" s="33" t="inlineStr">
        <is>
          <t>Boxing commissions</t>
        </is>
      </c>
      <c r="J457" s="35" t="n"/>
      <c r="K457" s="33" t="inlineStr">
        <is>
          <t>Added Oct 2026. Spot check before this day goes live.</t>
        </is>
      </c>
      <c r="L457" s="35">
        <f>COUNTIFS($A$2:$A$1501,A457,$D$2:$D$1501,D457)</f>
        <v/>
      </c>
    </row>
    <row r="458">
      <c r="A458" s="35" t="n">
        <v>92</v>
      </c>
      <c r="B458" s="41" t="n">
        <v>46391</v>
      </c>
      <c r="C458" s="35" t="n">
        <v>2</v>
      </c>
      <c r="D458" s="33" t="inlineStr">
        <is>
          <t>Space and Science</t>
        </is>
      </c>
      <c r="E458" s="36" t="inlineStr">
        <is>
          <t>How hot is the core of the Sun?</t>
        </is>
      </c>
      <c r="F458" s="42" t="n">
        <v>15</v>
      </c>
      <c r="G458" s="33" t="inlineStr">
        <is>
          <t>million °C</t>
        </is>
      </c>
      <c r="H458" s="35" t="inlineStr">
        <is>
          <t>Medium</t>
        </is>
      </c>
      <c r="I458" s="33" t="inlineStr">
        <is>
          <t>NASA</t>
        </is>
      </c>
      <c r="J458" s="35" t="n"/>
      <c r="K458" s="33" t="inlineStr">
        <is>
          <t>Added Oct 2026. Spot check before this day goes live.</t>
        </is>
      </c>
      <c r="L458" s="35">
        <f>COUNTIFS($A$2:$A$1501,A458,$D$2:$D$1501,D458)</f>
        <v/>
      </c>
    </row>
    <row r="459">
      <c r="A459" s="35" t="n">
        <v>92</v>
      </c>
      <c r="B459" s="41" t="n">
        <v>46391</v>
      </c>
      <c r="C459" s="35" t="n">
        <v>3</v>
      </c>
      <c r="D459" s="33" t="inlineStr">
        <is>
          <t>Movies, Music and Games</t>
        </is>
      </c>
      <c r="E459" s="36" t="inlineStr">
        <is>
          <t>How many episodes of Mad Men were made?</t>
        </is>
      </c>
      <c r="F459" s="42" t="n">
        <v>92</v>
      </c>
      <c r="G459" s="33" t="inlineStr">
        <is>
          <t>episodes</t>
        </is>
      </c>
      <c r="H459" s="35" t="inlineStr">
        <is>
          <t>Hard</t>
        </is>
      </c>
      <c r="I459" s="33" t="inlineStr">
        <is>
          <t>AMC</t>
        </is>
      </c>
      <c r="J459" s="35" t="n"/>
      <c r="K459" s="33" t="inlineStr">
        <is>
          <t>Added Oct 2026. Spot check before this day goes live.</t>
        </is>
      </c>
      <c r="L459" s="35">
        <f>COUNTIFS($A$2:$A$1501,A459,$D$2:$D$1501,D459)</f>
        <v/>
      </c>
    </row>
    <row r="460">
      <c r="A460" s="35" t="n">
        <v>92</v>
      </c>
      <c r="B460" s="41" t="n">
        <v>46391</v>
      </c>
      <c r="C460" s="35" t="n">
        <v>4</v>
      </c>
      <c r="D460" s="33" t="inlineStr">
        <is>
          <t>Geography</t>
        </is>
      </c>
      <c r="E460" s="36" t="inlineStr">
        <is>
          <t>How long is the Colorado River?</t>
        </is>
      </c>
      <c r="F460" s="42" t="n">
        <v>2330</v>
      </c>
      <c r="G460" s="33" t="inlineStr">
        <is>
          <t>km</t>
        </is>
      </c>
      <c r="H460" s="35" t="inlineStr">
        <is>
          <t>Hard</t>
        </is>
      </c>
      <c r="I460" s="33" t="inlineStr">
        <is>
          <t>US Geological Survey</t>
        </is>
      </c>
      <c r="J460" s="35" t="n"/>
      <c r="K460" s="33" t="inlineStr">
        <is>
          <t>Added Oct 2026. Spot check before this day goes live.</t>
        </is>
      </c>
      <c r="L460" s="35">
        <f>COUNTIFS($A$2:$A$1501,A460,$D$2:$D$1501,D460)</f>
        <v/>
      </c>
    </row>
    <row r="461">
      <c r="A461" s="35" t="n">
        <v>92</v>
      </c>
      <c r="B461" s="41" t="n">
        <v>46391</v>
      </c>
      <c r="C461" s="35" t="n">
        <v>5</v>
      </c>
      <c r="D461" s="33" t="inlineStr">
        <is>
          <t>Distance of the Day</t>
        </is>
      </c>
      <c r="E461" s="36" t="inlineStr">
        <is>
          <t>How far is it in a straight line from Athens to Istanbul?</t>
        </is>
      </c>
      <c r="F461" s="42" t="n">
        <v>560</v>
      </c>
      <c r="G461" s="33" t="inlineStr">
        <is>
          <t>km</t>
        </is>
      </c>
      <c r="H461" s="35" t="inlineStr">
        <is>
          <t>Easy</t>
        </is>
      </c>
      <c r="I461" s="33" t="inlineStr">
        <is>
          <t>Computed great-circle distance (city centre to city centre)</t>
        </is>
      </c>
      <c r="J461" s="35" t="n"/>
      <c r="K461" s="33" t="n"/>
      <c r="L461" s="35">
        <f>COUNTIFS($A$2:$A$1501,A461,$D$2:$D$1501,D461)</f>
        <v/>
      </c>
    </row>
    <row r="462">
      <c r="A462" s="35" t="n">
        <v>93</v>
      </c>
      <c r="B462" s="41" t="n">
        <v>46392</v>
      </c>
      <c r="C462" s="35" t="n">
        <v>1</v>
      </c>
      <c r="D462" s="33" t="inlineStr">
        <is>
          <t>Food and Everyday Life</t>
        </is>
      </c>
      <c r="E462" s="36" t="inlineStr">
        <is>
          <t>How many digits are in a typical credit card number?</t>
        </is>
      </c>
      <c r="F462" s="42" t="n">
        <v>16</v>
      </c>
      <c r="G462" s="33" t="inlineStr">
        <is>
          <t>digits</t>
        </is>
      </c>
      <c r="H462" s="35" t="inlineStr">
        <is>
          <t>Easy</t>
        </is>
      </c>
      <c r="I462" s="33" t="inlineStr">
        <is>
          <t>ISO/IEC 7812</t>
        </is>
      </c>
      <c r="J462" s="35" t="n"/>
      <c r="K462" s="33" t="inlineStr">
        <is>
          <t>Added Oct 2026. Spot check before this day goes live.</t>
        </is>
      </c>
      <c r="L462" s="35">
        <f>COUNTIFS($A$2:$A$1501,A462,$D$2:$D$1501,D462)</f>
        <v/>
      </c>
    </row>
    <row r="463">
      <c r="A463" s="35" t="n">
        <v>93</v>
      </c>
      <c r="B463" s="41" t="n">
        <v>46392</v>
      </c>
      <c r="C463" s="35" t="n">
        <v>2</v>
      </c>
      <c r="D463" s="33" t="inlineStr">
        <is>
          <t>Animals and Nature</t>
        </is>
      </c>
      <c r="E463" s="36" t="inlineStr">
        <is>
          <t>How many teeth does an adult dog have?</t>
        </is>
      </c>
      <c r="F463" s="42" t="n">
        <v>42</v>
      </c>
      <c r="G463" s="33" t="inlineStr">
        <is>
          <t>teeth</t>
        </is>
      </c>
      <c r="H463" s="35" t="inlineStr">
        <is>
          <t>Medium</t>
        </is>
      </c>
      <c r="I463" s="33" t="inlineStr">
        <is>
          <t>American Veterinary Medical Association</t>
        </is>
      </c>
      <c r="J463" s="35" t="n"/>
      <c r="K463" s="33" t="inlineStr">
        <is>
          <t>Added Oct 2026. Spot check before this day goes live.</t>
        </is>
      </c>
      <c r="L463" s="35">
        <f>COUNTIFS($A$2:$A$1501,A463,$D$2:$D$1501,D463)</f>
        <v/>
      </c>
    </row>
    <row r="464">
      <c r="A464" s="35" t="n">
        <v>93</v>
      </c>
      <c r="B464" s="41" t="n">
        <v>46392</v>
      </c>
      <c r="C464" s="35" t="n">
        <v>3</v>
      </c>
      <c r="D464" s="33" t="inlineStr">
        <is>
          <t>History</t>
        </is>
      </c>
      <c r="E464" s="36" t="inlineStr">
        <is>
          <t>How many days did the Cuban Missile Crisis last?</t>
        </is>
      </c>
      <c r="F464" s="42" t="n">
        <v>13</v>
      </c>
      <c r="G464" s="33" t="inlineStr">
        <is>
          <t>days</t>
        </is>
      </c>
      <c r="H464" s="35" t="inlineStr">
        <is>
          <t>Medium</t>
        </is>
      </c>
      <c r="I464" s="33" t="inlineStr">
        <is>
          <t>JFK Presidential Library</t>
        </is>
      </c>
      <c r="J464" s="35" t="n"/>
      <c r="K464" s="33" t="inlineStr">
        <is>
          <t>Added Oct 2026. Spot check before this day goes live.</t>
        </is>
      </c>
      <c r="L464" s="35">
        <f>COUNTIFS($A$2:$A$1501,A464,$D$2:$D$1501,D464)</f>
        <v/>
      </c>
    </row>
    <row r="465">
      <c r="A465" s="35" t="n">
        <v>93</v>
      </c>
      <c r="B465" s="41" t="n">
        <v>46392</v>
      </c>
      <c r="C465" s="35" t="n">
        <v>4</v>
      </c>
      <c r="D465" s="33" t="inlineStr">
        <is>
          <t>Buildings and Engineering</t>
        </is>
      </c>
      <c r="E465" s="36" t="inlineStr">
        <is>
          <t>How tall is the Ostankino Tower in Moscow?</t>
        </is>
      </c>
      <c r="F465" s="42" t="n">
        <v>540</v>
      </c>
      <c r="G465" s="33" t="inlineStr">
        <is>
          <t>metres</t>
        </is>
      </c>
      <c r="H465" s="35" t="inlineStr">
        <is>
          <t>Hard</t>
        </is>
      </c>
      <c r="I465" s="33" t="inlineStr">
        <is>
          <t>CTBUH</t>
        </is>
      </c>
      <c r="J465" s="35" t="n"/>
      <c r="K465" s="33" t="inlineStr">
        <is>
          <t>Added Oct 2026. Spot check before this day goes live.</t>
        </is>
      </c>
      <c r="L465" s="35">
        <f>COUNTIFS($A$2:$A$1501,A465,$D$2:$D$1501,D465)</f>
        <v/>
      </c>
    </row>
    <row r="466">
      <c r="A466" s="35" t="n">
        <v>93</v>
      </c>
      <c r="B466" s="41" t="n">
        <v>46392</v>
      </c>
      <c r="C466" s="35" t="n">
        <v>5</v>
      </c>
      <c r="D466" s="33" t="inlineStr">
        <is>
          <t>Distance of the Day</t>
        </is>
      </c>
      <c r="E466" s="36" t="inlineStr">
        <is>
          <t>How far is it in a straight line from Regina to Barcelona?</t>
        </is>
      </c>
      <c r="F466" s="42" t="n">
        <v>7580</v>
      </c>
      <c r="G466" s="33" t="inlineStr">
        <is>
          <t>km</t>
        </is>
      </c>
      <c r="H466" s="35" t="inlineStr">
        <is>
          <t>Medium</t>
        </is>
      </c>
      <c r="I466" s="33" t="inlineStr">
        <is>
          <t>Computed great-circle distance (city centre to city centre)</t>
        </is>
      </c>
      <c r="J466" s="35" t="n"/>
      <c r="K466" s="33" t="n"/>
      <c r="L466" s="35">
        <f>COUNTIFS($A$2:$A$1501,A466,$D$2:$D$1501,D466)</f>
        <v/>
      </c>
    </row>
    <row r="467">
      <c r="A467" s="35" t="n">
        <v>94</v>
      </c>
      <c r="B467" s="41" t="n">
        <v>46393</v>
      </c>
      <c r="C467" s="35" t="n">
        <v>1</v>
      </c>
      <c r="D467" s="33" t="inlineStr">
        <is>
          <t>Sports</t>
        </is>
      </c>
      <c r="E467" s="36" t="inlineStr">
        <is>
          <t>How many major golf championships did Jack Nicklaus win?</t>
        </is>
      </c>
      <c r="F467" s="42" t="n">
        <v>18</v>
      </c>
      <c r="G467" s="33" t="inlineStr">
        <is>
          <t>majors</t>
        </is>
      </c>
      <c r="H467" s="35" t="inlineStr">
        <is>
          <t>Medium</t>
        </is>
      </c>
      <c r="I467" s="33" t="inlineStr">
        <is>
          <t>PGA Tour</t>
        </is>
      </c>
      <c r="J467" s="35" t="n"/>
      <c r="K467" s="33" t="inlineStr">
        <is>
          <t>Added Oct 2026. Spot check before this day goes live.</t>
        </is>
      </c>
      <c r="L467" s="35">
        <f>COUNTIFS($A$2:$A$1501,A467,$D$2:$D$1501,D467)</f>
        <v/>
      </c>
    </row>
    <row r="468">
      <c r="A468" s="35" t="n">
        <v>94</v>
      </c>
      <c r="B468" s="41" t="n">
        <v>46393</v>
      </c>
      <c r="C468" s="35" t="n">
        <v>2</v>
      </c>
      <c r="D468" s="33" t="inlineStr">
        <is>
          <t>Space and Science</t>
        </is>
      </c>
      <c r="E468" s="36" t="inlineStr">
        <is>
          <t>What is the atomic number of copper?</t>
        </is>
      </c>
      <c r="F468" s="42" t="n">
        <v>29</v>
      </c>
      <c r="G468" s="33" t="n"/>
      <c r="H468" s="35" t="inlineStr">
        <is>
          <t>Medium</t>
        </is>
      </c>
      <c r="I468" s="33" t="inlineStr">
        <is>
          <t>IUPAC periodic table</t>
        </is>
      </c>
      <c r="J468" s="35" t="n"/>
      <c r="K468" s="33" t="inlineStr">
        <is>
          <t>Added Oct 2026. Spot check before this day goes live.</t>
        </is>
      </c>
      <c r="L468" s="35">
        <f>COUNTIFS($A$2:$A$1501,A468,$D$2:$D$1501,D468)</f>
        <v/>
      </c>
    </row>
    <row r="469">
      <c r="A469" s="35" t="n">
        <v>94</v>
      </c>
      <c r="B469" s="41" t="n">
        <v>46393</v>
      </c>
      <c r="C469" s="35" t="n">
        <v>3</v>
      </c>
      <c r="D469" s="33" t="inlineStr">
        <is>
          <t>Movies, Music and Games</t>
        </is>
      </c>
      <c r="E469" s="36" t="inlineStr">
        <is>
          <t>How long is The Sound of Music?</t>
        </is>
      </c>
      <c r="F469" s="42" t="n">
        <v>172</v>
      </c>
      <c r="G469" s="33" t="inlineStr">
        <is>
          <t>minutes</t>
        </is>
      </c>
      <c r="H469" s="35" t="inlineStr">
        <is>
          <t>Hard</t>
        </is>
      </c>
      <c r="I469" s="33" t="inlineStr">
        <is>
          <t>IMDb</t>
        </is>
      </c>
      <c r="J469" s="35" t="n"/>
      <c r="K469" s="33" t="inlineStr">
        <is>
          <t>Added Oct 2026. Spot check before this day goes live.</t>
        </is>
      </c>
      <c r="L469" s="35">
        <f>COUNTIFS($A$2:$A$1501,A469,$D$2:$D$1501,D469)</f>
        <v/>
      </c>
    </row>
    <row r="470">
      <c r="A470" s="35" t="n">
        <v>94</v>
      </c>
      <c r="B470" s="41" t="n">
        <v>46393</v>
      </c>
      <c r="C470" s="35" t="n">
        <v>4</v>
      </c>
      <c r="D470" s="33" t="inlineStr">
        <is>
          <t>Geography</t>
        </is>
      </c>
      <c r="E470" s="36" t="inlineStr">
        <is>
          <t>How big is the United Kingdom?</t>
        </is>
      </c>
      <c r="F470" s="42" t="n">
        <v>242495</v>
      </c>
      <c r="G470" s="33" t="inlineStr">
        <is>
          <t>km²</t>
        </is>
      </c>
      <c r="H470" s="35" t="inlineStr">
        <is>
          <t>Hard</t>
        </is>
      </c>
      <c r="I470" s="33" t="inlineStr">
        <is>
          <t>Office for National Statistics</t>
        </is>
      </c>
      <c r="J470" s="35" t="n"/>
      <c r="K470" s="33" t="inlineStr">
        <is>
          <t>Added Oct 2026. Spot check before this day goes live.</t>
        </is>
      </c>
      <c r="L470" s="35">
        <f>COUNTIFS($A$2:$A$1501,A470,$D$2:$D$1501,D470)</f>
        <v/>
      </c>
    </row>
    <row r="471">
      <c r="A471" s="35" t="n">
        <v>94</v>
      </c>
      <c r="B471" s="41" t="n">
        <v>46393</v>
      </c>
      <c r="C471" s="35" t="n">
        <v>5</v>
      </c>
      <c r="D471" s="33" t="inlineStr">
        <is>
          <t>Distance of the Day</t>
        </is>
      </c>
      <c r="E471" s="36" t="inlineStr">
        <is>
          <t>How far is it in a straight line from Edmonton to Denver?</t>
        </is>
      </c>
      <c r="F471" s="42" t="n">
        <v>1660</v>
      </c>
      <c r="G471" s="33" t="inlineStr">
        <is>
          <t>km</t>
        </is>
      </c>
      <c r="H471" s="35" t="inlineStr">
        <is>
          <t>Medium</t>
        </is>
      </c>
      <c r="I471" s="33" t="inlineStr">
        <is>
          <t>Computed great-circle distance (city centre to city centre)</t>
        </is>
      </c>
      <c r="J471" s="35" t="n"/>
      <c r="K471" s="33" t="n"/>
      <c r="L471" s="35">
        <f>COUNTIFS($A$2:$A$1501,A471,$D$2:$D$1501,D471)</f>
        <v/>
      </c>
    </row>
    <row r="472">
      <c r="A472" s="35" t="n">
        <v>95</v>
      </c>
      <c r="B472" s="41" t="n">
        <v>46394</v>
      </c>
      <c r="C472" s="35" t="n">
        <v>1</v>
      </c>
      <c r="D472" s="33" t="inlineStr">
        <is>
          <t>Food and Everyday Life</t>
        </is>
      </c>
      <c r="E472" s="36" t="inlineStr">
        <is>
          <t>How many eggs are in two dozen?</t>
        </is>
      </c>
      <c r="F472" s="42" t="n">
        <v>24</v>
      </c>
      <c r="G472" s="33" t="inlineStr">
        <is>
          <t>eggs</t>
        </is>
      </c>
      <c r="H472" s="35" t="inlineStr">
        <is>
          <t>Easy</t>
        </is>
      </c>
      <c r="I472" s="33" t="inlineStr">
        <is>
          <t>Merriam-Webster</t>
        </is>
      </c>
      <c r="J472" s="35" t="n"/>
      <c r="K472" s="33" t="inlineStr">
        <is>
          <t>Added Oct 2026. Spot check before this day goes live.</t>
        </is>
      </c>
      <c r="L472" s="35">
        <f>COUNTIFS($A$2:$A$1501,A472,$D$2:$D$1501,D472)</f>
        <v/>
      </c>
    </row>
    <row r="473">
      <c r="A473" s="35" t="n">
        <v>95</v>
      </c>
      <c r="B473" s="41" t="n">
        <v>46394</v>
      </c>
      <c r="C473" s="35" t="n">
        <v>2</v>
      </c>
      <c r="D473" s="33" t="inlineStr">
        <is>
          <t>Animals and Nature</t>
        </is>
      </c>
      <c r="E473" s="36" t="inlineStr">
        <is>
          <t>How many muscles are in an elephant's trunk?</t>
        </is>
      </c>
      <c r="F473" s="42" t="n">
        <v>40000</v>
      </c>
      <c r="G473" s="33" t="inlineStr">
        <is>
          <t>muscles</t>
        </is>
      </c>
      <c r="H473" s="35" t="inlineStr">
        <is>
          <t>Medium</t>
        </is>
      </c>
      <c r="I473" s="33" t="inlineStr">
        <is>
          <t>Smithsonian</t>
        </is>
      </c>
      <c r="J473" s="35" t="n"/>
      <c r="K473" s="33" t="inlineStr">
        <is>
          <t>Added Oct 2026. Spot check before this day goes live.</t>
        </is>
      </c>
      <c r="L473" s="35">
        <f>COUNTIFS($A$2:$A$1501,A473,$D$2:$D$1501,D473)</f>
        <v/>
      </c>
    </row>
    <row r="474">
      <c r="A474" s="35" t="n">
        <v>95</v>
      </c>
      <c r="B474" s="41" t="n">
        <v>46394</v>
      </c>
      <c r="C474" s="35" t="n">
        <v>3</v>
      </c>
      <c r="D474" s="33" t="inlineStr">
        <is>
          <t>History</t>
        </is>
      </c>
      <c r="E474" s="36" t="inlineStr">
        <is>
          <t>How many days did the Montgomery Bus Boycott last?</t>
        </is>
      </c>
      <c r="F474" s="42" t="n">
        <v>381</v>
      </c>
      <c r="G474" s="33" t="inlineStr">
        <is>
          <t>days</t>
        </is>
      </c>
      <c r="H474" s="35" t="inlineStr">
        <is>
          <t>Hard</t>
        </is>
      </c>
      <c r="I474" s="33" t="inlineStr">
        <is>
          <t>US National Park Service</t>
        </is>
      </c>
      <c r="J474" s="35" t="n"/>
      <c r="K474" s="33" t="inlineStr">
        <is>
          <t>Added Oct 2026. Spot check before this day goes live.</t>
        </is>
      </c>
      <c r="L474" s="35">
        <f>COUNTIFS($A$2:$A$1501,A474,$D$2:$D$1501,D474)</f>
        <v/>
      </c>
    </row>
    <row r="475">
      <c r="A475" s="35" t="n">
        <v>95</v>
      </c>
      <c r="B475" s="41" t="n">
        <v>46394</v>
      </c>
      <c r="C475" s="35" t="n">
        <v>4</v>
      </c>
      <c r="D475" s="33" t="inlineStr">
        <is>
          <t>Buildings and Engineering</t>
        </is>
      </c>
      <c r="E475" s="36" t="inlineStr">
        <is>
          <t>How long is the Lake Pontchartrain Causeway in Louisiana?</t>
        </is>
      </c>
      <c r="F475" s="42" t="n">
        <v>38.4</v>
      </c>
      <c r="G475" s="33" t="inlineStr">
        <is>
          <t>km</t>
        </is>
      </c>
      <c r="H475" s="35" t="inlineStr">
        <is>
          <t>Hard</t>
        </is>
      </c>
      <c r="I475" s="33" t="inlineStr">
        <is>
          <t>Guinness World Records</t>
        </is>
      </c>
      <c r="J475" s="35" t="n"/>
      <c r="K475" s="33" t="inlineStr">
        <is>
          <t>Added Oct 2026. Spot check before this day goes live.</t>
        </is>
      </c>
      <c r="L475" s="35">
        <f>COUNTIFS($A$2:$A$1501,A475,$D$2:$D$1501,D475)</f>
        <v/>
      </c>
    </row>
    <row r="476">
      <c r="A476" s="35" t="n">
        <v>95</v>
      </c>
      <c r="B476" s="41" t="n">
        <v>46394</v>
      </c>
      <c r="C476" s="35" t="n">
        <v>5</v>
      </c>
      <c r="D476" s="33" t="inlineStr">
        <is>
          <t>Distance of the Day</t>
        </is>
      </c>
      <c r="E476" s="36" t="inlineStr">
        <is>
          <t>How far is it in a straight line from Fredericton to Beijing?</t>
        </is>
      </c>
      <c r="F476" s="42" t="n">
        <v>10460</v>
      </c>
      <c r="G476" s="33" t="inlineStr">
        <is>
          <t>km</t>
        </is>
      </c>
      <c r="H476" s="35" t="inlineStr">
        <is>
          <t>Hard</t>
        </is>
      </c>
      <c r="I476" s="33" t="inlineStr">
        <is>
          <t>Computed great-circle distance (city centre to city centre)</t>
        </is>
      </c>
      <c r="J476" s="35" t="n"/>
      <c r="K476" s="33" t="n"/>
      <c r="L476" s="35">
        <f>COUNTIFS($A$2:$A$1501,A476,$D$2:$D$1501,D476)</f>
        <v/>
      </c>
    </row>
    <row r="477">
      <c r="A477" s="35" t="n">
        <v>96</v>
      </c>
      <c r="B477" s="41" t="n">
        <v>46395</v>
      </c>
      <c r="C477" s="35" t="n">
        <v>1</v>
      </c>
      <c r="D477" s="33" t="inlineStr">
        <is>
          <t>Sports</t>
        </is>
      </c>
      <c r="E477" s="36" t="inlineStr">
        <is>
          <t>How many minutes long is a regulation NBA game?</t>
        </is>
      </c>
      <c r="F477" s="42" t="n">
        <v>48</v>
      </c>
      <c r="G477" s="33" t="inlineStr">
        <is>
          <t>minutes</t>
        </is>
      </c>
      <c r="H477" s="35" t="inlineStr">
        <is>
          <t>Easy</t>
        </is>
      </c>
      <c r="I477" s="33" t="inlineStr">
        <is>
          <t>NBA rulebook</t>
        </is>
      </c>
      <c r="J477" s="35" t="n"/>
      <c r="K477" s="33" t="inlineStr">
        <is>
          <t>Added Oct 2026. Spot check before this day goes live.</t>
        </is>
      </c>
      <c r="L477" s="35">
        <f>COUNTIFS($A$2:$A$1501,A477,$D$2:$D$1501,D477)</f>
        <v/>
      </c>
    </row>
    <row r="478">
      <c r="A478" s="35" t="n">
        <v>96</v>
      </c>
      <c r="B478" s="41" t="n">
        <v>46395</v>
      </c>
      <c r="C478" s="35" t="n">
        <v>2</v>
      </c>
      <c r="D478" s="33" t="inlineStr">
        <is>
          <t>Space and Science</t>
        </is>
      </c>
      <c r="E478" s="36" t="inlineStr">
        <is>
          <t>How many times does the International Space Station orbit Earth each day?</t>
        </is>
      </c>
      <c r="F478" s="42" t="n">
        <v>16</v>
      </c>
      <c r="G478" s="33" t="inlineStr">
        <is>
          <t>orbits</t>
        </is>
      </c>
      <c r="H478" s="35" t="inlineStr">
        <is>
          <t>Medium</t>
        </is>
      </c>
      <c r="I478" s="33" t="inlineStr">
        <is>
          <t>NASA</t>
        </is>
      </c>
      <c r="J478" s="35" t="n"/>
      <c r="K478" s="33" t="inlineStr">
        <is>
          <t>Added Oct 2026. Spot check before this day goes live.</t>
        </is>
      </c>
      <c r="L478" s="35">
        <f>COUNTIFS($A$2:$A$1501,A478,$D$2:$D$1501,D478)</f>
        <v/>
      </c>
    </row>
    <row r="479">
      <c r="A479" s="35" t="n">
        <v>96</v>
      </c>
      <c r="B479" s="41" t="n">
        <v>46395</v>
      </c>
      <c r="C479" s="35" t="n">
        <v>3</v>
      </c>
      <c r="D479" s="33" t="inlineStr">
        <is>
          <t>Movies, Music and Games</t>
        </is>
      </c>
      <c r="E479" s="36" t="inlineStr">
        <is>
          <t>How many episodes of The Big Bang Theory were made?</t>
        </is>
      </c>
      <c r="F479" s="42" t="n">
        <v>279</v>
      </c>
      <c r="G479" s="33" t="inlineStr">
        <is>
          <t>episodes</t>
        </is>
      </c>
      <c r="H479" s="35" t="inlineStr">
        <is>
          <t>Medium</t>
        </is>
      </c>
      <c r="I479" s="33" t="inlineStr">
        <is>
          <t>CBS</t>
        </is>
      </c>
      <c r="J479" s="35" t="n"/>
      <c r="K479" s="33" t="inlineStr">
        <is>
          <t>Added Oct 2026. Spot check before this day goes live.</t>
        </is>
      </c>
      <c r="L479" s="35">
        <f>COUNTIFS($A$2:$A$1501,A479,$D$2:$D$1501,D479)</f>
        <v/>
      </c>
    </row>
    <row r="480">
      <c r="A480" s="35" t="n">
        <v>96</v>
      </c>
      <c r="B480" s="41" t="n">
        <v>46395</v>
      </c>
      <c r="C480" s="35" t="n">
        <v>4</v>
      </c>
      <c r="D480" s="33" t="inlineStr">
        <is>
          <t>Geography</t>
        </is>
      </c>
      <c r="E480" s="36" t="inlineStr">
        <is>
          <t>How big is Lake Huron?</t>
        </is>
      </c>
      <c r="F480" s="42" t="n">
        <v>59600</v>
      </c>
      <c r="G480" s="33" t="inlineStr">
        <is>
          <t>km²</t>
        </is>
      </c>
      <c r="H480" s="35" t="inlineStr">
        <is>
          <t>Hard</t>
        </is>
      </c>
      <c r="I480" s="33" t="inlineStr">
        <is>
          <t>US EPA Great Lakes</t>
        </is>
      </c>
      <c r="J480" s="35" t="n"/>
      <c r="K480" s="33" t="inlineStr">
        <is>
          <t>Added Oct 2026. Spot check before this day goes live.</t>
        </is>
      </c>
      <c r="L480" s="35">
        <f>COUNTIFS($A$2:$A$1501,A480,$D$2:$D$1501,D480)</f>
        <v/>
      </c>
    </row>
    <row r="481">
      <c r="A481" s="35" t="n">
        <v>96</v>
      </c>
      <c r="B481" s="41" t="n">
        <v>46395</v>
      </c>
      <c r="C481" s="35" t="n">
        <v>5</v>
      </c>
      <c r="D481" s="33" t="inlineStr">
        <is>
          <t>Distance of the Day</t>
        </is>
      </c>
      <c r="E481" s="36" t="inlineStr">
        <is>
          <t>How far is it in a straight line from Seattle to San Francisco?</t>
        </is>
      </c>
      <c r="F481" s="42" t="n">
        <v>1090</v>
      </c>
      <c r="G481" s="33" t="inlineStr">
        <is>
          <t>km</t>
        </is>
      </c>
      <c r="H481" s="35" t="inlineStr">
        <is>
          <t>Easy</t>
        </is>
      </c>
      <c r="I481" s="33" t="inlineStr">
        <is>
          <t>Computed great-circle distance (city centre to city centre)</t>
        </is>
      </c>
      <c r="J481" s="35" t="n"/>
      <c r="K481" s="33" t="n"/>
      <c r="L481" s="35">
        <f>COUNTIFS($A$2:$A$1501,A481,$D$2:$D$1501,D481)</f>
        <v/>
      </c>
    </row>
    <row r="482">
      <c r="A482" s="35" t="n">
        <v>97</v>
      </c>
      <c r="B482" s="41" t="n">
        <v>46396</v>
      </c>
      <c r="C482" s="35" t="n">
        <v>1</v>
      </c>
      <c r="D482" s="33" t="inlineStr">
        <is>
          <t>Food and Everyday Life</t>
        </is>
      </c>
      <c r="E482" s="36" t="inlineStr">
        <is>
          <t>To what internal temperature should chicken be cooked to be safe?</t>
        </is>
      </c>
      <c r="F482" s="42" t="n">
        <v>74</v>
      </c>
      <c r="G482" s="33" t="inlineStr">
        <is>
          <t>°C</t>
        </is>
      </c>
      <c r="H482" s="35" t="inlineStr">
        <is>
          <t>Medium</t>
        </is>
      </c>
      <c r="I482" s="33" t="inlineStr">
        <is>
          <t>Health Canada</t>
        </is>
      </c>
      <c r="J482" s="35" t="n"/>
      <c r="K482" s="33" t="inlineStr">
        <is>
          <t>Added Oct 2026. Spot check before this day goes live.</t>
        </is>
      </c>
      <c r="L482" s="35">
        <f>COUNTIFS($A$2:$A$1501,A482,$D$2:$D$1501,D482)</f>
        <v/>
      </c>
    </row>
    <row r="483">
      <c r="A483" s="35" t="n">
        <v>97</v>
      </c>
      <c r="B483" s="41" t="n">
        <v>46396</v>
      </c>
      <c r="C483" s="35" t="n">
        <v>2</v>
      </c>
      <c r="D483" s="33" t="inlineStr">
        <is>
          <t>Animals and Nature</t>
        </is>
      </c>
      <c r="E483" s="36" t="inlineStr">
        <is>
          <t>How many toes does a horse have on each foot?</t>
        </is>
      </c>
      <c r="F483" s="42" t="n">
        <v>1</v>
      </c>
      <c r="G483" s="33" t="inlineStr">
        <is>
          <t>toe</t>
        </is>
      </c>
      <c r="H483" s="35" t="inlineStr">
        <is>
          <t>Medium</t>
        </is>
      </c>
      <c r="I483" s="33" t="inlineStr">
        <is>
          <t>Britannica</t>
        </is>
      </c>
      <c r="J483" s="35" t="n"/>
      <c r="K483" s="33" t="inlineStr">
        <is>
          <t>Added Oct 2026. Spot check before this day goes live.</t>
        </is>
      </c>
      <c r="L483" s="35">
        <f>COUNTIFS($A$2:$A$1501,A483,$D$2:$D$1501,D483)</f>
        <v/>
      </c>
    </row>
    <row r="484">
      <c r="A484" s="35" t="n">
        <v>97</v>
      </c>
      <c r="B484" s="41" t="n">
        <v>46396</v>
      </c>
      <c r="C484" s="35" t="n">
        <v>3</v>
      </c>
      <c r="D484" s="33" t="inlineStr">
        <is>
          <t>History</t>
        </is>
      </c>
      <c r="E484" s="36" t="inlineStr">
        <is>
          <t>How many people died aboard the Hindenburg?</t>
        </is>
      </c>
      <c r="F484" s="42" t="n">
        <v>36</v>
      </c>
      <c r="G484" s="33" t="inlineStr">
        <is>
          <t>people</t>
        </is>
      </c>
      <c r="H484" s="35" t="inlineStr">
        <is>
          <t>Hard</t>
        </is>
      </c>
      <c r="I484" s="33" t="inlineStr">
        <is>
          <t>Smithsonian</t>
        </is>
      </c>
      <c r="J484" s="35" t="n"/>
      <c r="K484" s="33" t="inlineStr">
        <is>
          <t>Added Oct 2026. Spot check before this day goes live.</t>
        </is>
      </c>
      <c r="L484" s="35">
        <f>COUNTIFS($A$2:$A$1501,A484,$D$2:$D$1501,D484)</f>
        <v/>
      </c>
    </row>
    <row r="485">
      <c r="A485" s="35" t="n">
        <v>97</v>
      </c>
      <c r="B485" s="41" t="n">
        <v>46396</v>
      </c>
      <c r="C485" s="35" t="n">
        <v>4</v>
      </c>
      <c r="D485" s="33" t="inlineStr">
        <is>
          <t>Canada</t>
        </is>
      </c>
      <c r="E485" s="36" t="inlineStr">
        <is>
          <t>How deep is Great Slave Lake, the deepest lake in North America?</t>
        </is>
      </c>
      <c r="F485" s="42" t="n">
        <v>614</v>
      </c>
      <c r="G485" s="33" t="inlineStr">
        <is>
          <t>metres</t>
        </is>
      </c>
      <c r="H485" s="35" t="inlineStr">
        <is>
          <t>Hard</t>
        </is>
      </c>
      <c r="I485" s="33" t="inlineStr">
        <is>
          <t>Government of the Northwest Territories</t>
        </is>
      </c>
      <c r="J485" s="35" t="n"/>
      <c r="K485" s="33" t="inlineStr">
        <is>
          <t>Added Oct 2026. Spot check before this day goes live.</t>
        </is>
      </c>
      <c r="L485" s="35">
        <f>COUNTIFS($A$2:$A$1501,A485,$D$2:$D$1501,D485)</f>
        <v/>
      </c>
    </row>
    <row r="486">
      <c r="A486" s="35" t="n">
        <v>97</v>
      </c>
      <c r="B486" s="41" t="n">
        <v>46396</v>
      </c>
      <c r="C486" s="35" t="n">
        <v>5</v>
      </c>
      <c r="D486" s="33" t="inlineStr">
        <is>
          <t>Distance of the Day</t>
        </is>
      </c>
      <c r="E486" s="36" t="inlineStr">
        <is>
          <t>How far is it in a straight line from Edmonton to Barcelona?</t>
        </is>
      </c>
      <c r="F486" s="42" t="n">
        <v>7810</v>
      </c>
      <c r="G486" s="33" t="inlineStr">
        <is>
          <t>km</t>
        </is>
      </c>
      <c r="H486" s="35" t="inlineStr">
        <is>
          <t>Medium</t>
        </is>
      </c>
      <c r="I486" s="33" t="inlineStr">
        <is>
          <t>Computed great-circle distance (city centre to city centre)</t>
        </is>
      </c>
      <c r="J486" s="35" t="n"/>
      <c r="K486" s="33" t="n"/>
      <c r="L486" s="35">
        <f>COUNTIFS($A$2:$A$1501,A486,$D$2:$D$1501,D486)</f>
        <v/>
      </c>
    </row>
    <row r="487">
      <c r="A487" s="35" t="n">
        <v>98</v>
      </c>
      <c r="B487" s="41" t="n">
        <v>46397</v>
      </c>
      <c r="C487" s="35" t="n">
        <v>1</v>
      </c>
      <c r="D487" s="33" t="inlineStr">
        <is>
          <t>Sports</t>
        </is>
      </c>
      <c r="E487" s="36" t="inlineStr">
        <is>
          <t>How high is the Olympic diving platform?</t>
        </is>
      </c>
      <c r="F487" s="42" t="n">
        <v>10</v>
      </c>
      <c r="G487" s="33" t="inlineStr">
        <is>
          <t>metres</t>
        </is>
      </c>
      <c r="H487" s="35" t="inlineStr">
        <is>
          <t>Easy</t>
        </is>
      </c>
      <c r="I487" s="33" t="inlineStr">
        <is>
          <t>World Aquatics</t>
        </is>
      </c>
      <c r="J487" s="35" t="n"/>
      <c r="K487" s="33" t="inlineStr">
        <is>
          <t>Added Oct 2026. Spot check before this day goes live.</t>
        </is>
      </c>
      <c r="L487" s="35">
        <f>COUNTIFS($A$2:$A$1501,A487,$D$2:$D$1501,D487)</f>
        <v/>
      </c>
    </row>
    <row r="488">
      <c r="A488" s="35" t="n">
        <v>98</v>
      </c>
      <c r="B488" s="41" t="n">
        <v>46397</v>
      </c>
      <c r="C488" s="35" t="n">
        <v>2</v>
      </c>
      <c r="D488" s="33" t="inlineStr">
        <is>
          <t>Space and Science</t>
        </is>
      </c>
      <c r="E488" s="36" t="inlineStr">
        <is>
          <t>How many Space Shuttle orbiters flew in space?</t>
        </is>
      </c>
      <c r="F488" s="42" t="n">
        <v>5</v>
      </c>
      <c r="G488" s="33" t="inlineStr">
        <is>
          <t>orbiters</t>
        </is>
      </c>
      <c r="H488" s="35" t="inlineStr">
        <is>
          <t>Medium</t>
        </is>
      </c>
      <c r="I488" s="33" t="inlineStr">
        <is>
          <t>NASA</t>
        </is>
      </c>
      <c r="J488" s="35" t="n"/>
      <c r="K488" s="33" t="inlineStr">
        <is>
          <t>Added Oct 2026. Spot check before this day goes live.</t>
        </is>
      </c>
      <c r="L488" s="35">
        <f>COUNTIFS($A$2:$A$1501,A488,$D$2:$D$1501,D488)</f>
        <v/>
      </c>
    </row>
    <row r="489">
      <c r="A489" s="35" t="n">
        <v>98</v>
      </c>
      <c r="B489" s="41" t="n">
        <v>46397</v>
      </c>
      <c r="C489" s="35" t="n">
        <v>3</v>
      </c>
      <c r="D489" s="33" t="inlineStr">
        <is>
          <t>Movies, Music and Games</t>
        </is>
      </c>
      <c r="E489" s="36" t="inlineStr">
        <is>
          <t>How long is The Lord of the Rings: The Fellowship of the Ring (theatrical cut)?</t>
        </is>
      </c>
      <c r="F489" s="42" t="n">
        <v>178</v>
      </c>
      <c r="G489" s="33" t="inlineStr">
        <is>
          <t>minutes</t>
        </is>
      </c>
      <c r="H489" s="35" t="inlineStr">
        <is>
          <t>Medium</t>
        </is>
      </c>
      <c r="I489" s="33" t="inlineStr">
        <is>
          <t>IMDb</t>
        </is>
      </c>
      <c r="J489" s="35" t="n"/>
      <c r="K489" s="33" t="inlineStr">
        <is>
          <t>Added Oct 2026. Spot check before this day goes live.</t>
        </is>
      </c>
      <c r="L489" s="35">
        <f>COUNTIFS($A$2:$A$1501,A489,$D$2:$D$1501,D489)</f>
        <v/>
      </c>
    </row>
    <row r="490">
      <c r="A490" s="35" t="n">
        <v>98</v>
      </c>
      <c r="B490" s="41" t="n">
        <v>46397</v>
      </c>
      <c r="C490" s="35" t="n">
        <v>4</v>
      </c>
      <c r="D490" s="33" t="inlineStr">
        <is>
          <t>Geography</t>
        </is>
      </c>
      <c r="E490" s="36" t="inlineStr">
        <is>
          <t>How tall is Mount Olympus in Greece?</t>
        </is>
      </c>
      <c r="F490" s="42" t="n">
        <v>2917</v>
      </c>
      <c r="G490" s="33" t="inlineStr">
        <is>
          <t>metres</t>
        </is>
      </c>
      <c r="H490" s="35" t="inlineStr">
        <is>
          <t>Hard</t>
        </is>
      </c>
      <c r="I490" s="33" t="inlineStr">
        <is>
          <t>Britannica</t>
        </is>
      </c>
      <c r="J490" s="35" t="n"/>
      <c r="K490" s="33" t="inlineStr">
        <is>
          <t>Added Oct 2026. Spot check before this day goes live.</t>
        </is>
      </c>
      <c r="L490" s="35">
        <f>COUNTIFS($A$2:$A$1501,A490,$D$2:$D$1501,D490)</f>
        <v/>
      </c>
    </row>
    <row r="491">
      <c r="A491" s="35" t="n">
        <v>98</v>
      </c>
      <c r="B491" s="41" t="n">
        <v>46397</v>
      </c>
      <c r="C491" s="35" t="n">
        <v>5</v>
      </c>
      <c r="D491" s="33" t="inlineStr">
        <is>
          <t>Distance of the Day</t>
        </is>
      </c>
      <c r="E491" s="36" t="inlineStr">
        <is>
          <t>How far is it in a straight line from Iqaluit to Accra?</t>
        </is>
      </c>
      <c r="F491" s="42" t="n">
        <v>8400</v>
      </c>
      <c r="G491" s="33" t="inlineStr">
        <is>
          <t>km</t>
        </is>
      </c>
      <c r="H491" s="35" t="inlineStr">
        <is>
          <t>Hard</t>
        </is>
      </c>
      <c r="I491" s="33" t="inlineStr">
        <is>
          <t>Computed great-circle distance (city centre to city centre)</t>
        </is>
      </c>
      <c r="J491" s="35" t="n"/>
      <c r="K491" s="33" t="n"/>
      <c r="L491" s="35">
        <f>COUNTIFS($A$2:$A$1501,A491,$D$2:$D$1501,D491)</f>
        <v/>
      </c>
    </row>
    <row r="492">
      <c r="A492" s="35" t="n">
        <v>99</v>
      </c>
      <c r="B492" s="41" t="n">
        <v>46398</v>
      </c>
      <c r="C492" s="35" t="n">
        <v>1</v>
      </c>
      <c r="D492" s="33" t="inlineStr">
        <is>
          <t>Food and Everyday Life</t>
        </is>
      </c>
      <c r="E492" s="36" t="inlineStr">
        <is>
          <t>How many cents are in a toonie?</t>
        </is>
      </c>
      <c r="F492" s="42" t="n">
        <v>200</v>
      </c>
      <c r="G492" s="33" t="inlineStr">
        <is>
          <t>cents</t>
        </is>
      </c>
      <c r="H492" s="35" t="inlineStr">
        <is>
          <t>Easy</t>
        </is>
      </c>
      <c r="I492" s="33" t="inlineStr">
        <is>
          <t>Royal Canadian Mint</t>
        </is>
      </c>
      <c r="J492" s="35" t="n"/>
      <c r="K492" s="33" t="inlineStr">
        <is>
          <t>Added Oct 2026. Spot check before this day goes live.</t>
        </is>
      </c>
      <c r="L492" s="35">
        <f>COUNTIFS($A$2:$A$1501,A492,$D$2:$D$1501,D492)</f>
        <v/>
      </c>
    </row>
    <row r="493">
      <c r="A493" s="35" t="n">
        <v>99</v>
      </c>
      <c r="B493" s="41" t="n">
        <v>46398</v>
      </c>
      <c r="C493" s="35" t="n">
        <v>2</v>
      </c>
      <c r="D493" s="33" t="inlineStr">
        <is>
          <t>Buildings and Engineering</t>
        </is>
      </c>
      <c r="E493" s="36" t="inlineStr">
        <is>
          <t>How tall is The Shard in London?</t>
        </is>
      </c>
      <c r="F493" s="42" t="n">
        <v>310</v>
      </c>
      <c r="G493" s="33" t="inlineStr">
        <is>
          <t>metres</t>
        </is>
      </c>
      <c r="H493" s="35" t="inlineStr">
        <is>
          <t>Medium</t>
        </is>
      </c>
      <c r="I493" s="33" t="inlineStr">
        <is>
          <t>CTBUH</t>
        </is>
      </c>
      <c r="J493" s="35" t="n"/>
      <c r="K493" s="33" t="inlineStr">
        <is>
          <t>Added Oct 2026. Spot check before this day goes live.</t>
        </is>
      </c>
      <c r="L493" s="35">
        <f>COUNTIFS($A$2:$A$1501,A493,$D$2:$D$1501,D493)</f>
        <v/>
      </c>
    </row>
    <row r="494">
      <c r="A494" s="35" t="n">
        <v>99</v>
      </c>
      <c r="B494" s="41" t="n">
        <v>46398</v>
      </c>
      <c r="C494" s="35" t="n">
        <v>3</v>
      </c>
      <c r="D494" s="33" t="inlineStr">
        <is>
          <t>Animals and Nature</t>
        </is>
      </c>
      <c r="E494" s="36" t="inlineStr">
        <is>
          <t>How much does a hippopotamus weigh?</t>
        </is>
      </c>
      <c r="F494" s="42" t="n">
        <v>1500</v>
      </c>
      <c r="G494" s="33" t="inlineStr">
        <is>
          <t>kg</t>
        </is>
      </c>
      <c r="H494" s="35" t="inlineStr">
        <is>
          <t>Hard</t>
        </is>
      </c>
      <c r="I494" s="33" t="inlineStr">
        <is>
          <t>San Diego Zoo</t>
        </is>
      </c>
      <c r="J494" s="35" t="n"/>
      <c r="K494" s="33" t="inlineStr">
        <is>
          <t>Added Oct 2026. Spot check before this day goes live.</t>
        </is>
      </c>
      <c r="L494" s="35">
        <f>COUNTIFS($A$2:$A$1501,A494,$D$2:$D$1501,D494)</f>
        <v/>
      </c>
    </row>
    <row r="495">
      <c r="A495" s="35" t="n">
        <v>99</v>
      </c>
      <c r="B495" s="41" t="n">
        <v>46398</v>
      </c>
      <c r="C495" s="35" t="n">
        <v>4</v>
      </c>
      <c r="D495" s="33" t="inlineStr">
        <is>
          <t>History</t>
        </is>
      </c>
      <c r="E495" s="36" t="inlineStr">
        <is>
          <t>How many days long was the Battle of Verdun?</t>
        </is>
      </c>
      <c r="F495" s="42" t="n">
        <v>303</v>
      </c>
      <c r="G495" s="33" t="inlineStr">
        <is>
          <t>days</t>
        </is>
      </c>
      <c r="H495" s="35" t="inlineStr">
        <is>
          <t>Hard</t>
        </is>
      </c>
      <c r="I495" s="33" t="inlineStr">
        <is>
          <t>Imperial War Museums</t>
        </is>
      </c>
      <c r="J495" s="35" t="n"/>
      <c r="K495" s="33" t="inlineStr">
        <is>
          <t>Added Oct 2026. Spot check before this day goes live.</t>
        </is>
      </c>
      <c r="L495" s="35">
        <f>COUNTIFS($A$2:$A$1501,A495,$D$2:$D$1501,D495)</f>
        <v/>
      </c>
    </row>
    <row r="496">
      <c r="A496" s="35" t="n">
        <v>99</v>
      </c>
      <c r="B496" s="41" t="n">
        <v>46398</v>
      </c>
      <c r="C496" s="35" t="n">
        <v>5</v>
      </c>
      <c r="D496" s="33" t="inlineStr">
        <is>
          <t>Distance of the Day</t>
        </is>
      </c>
      <c r="E496" s="36" t="inlineStr">
        <is>
          <t>How far is it in a straight line from Regina to Warsaw?</t>
        </is>
      </c>
      <c r="F496" s="42" t="n">
        <v>7510</v>
      </c>
      <c r="G496" s="33" t="inlineStr">
        <is>
          <t>km</t>
        </is>
      </c>
      <c r="H496" s="35" t="inlineStr">
        <is>
          <t>Medium</t>
        </is>
      </c>
      <c r="I496" s="33" t="inlineStr">
        <is>
          <t>Computed great-circle distance (city centre to city centre)</t>
        </is>
      </c>
      <c r="J496" s="35" t="n"/>
      <c r="K496" s="33" t="n"/>
      <c r="L496" s="35">
        <f>COUNTIFS($A$2:$A$1501,A496,$D$2:$D$1501,D496)</f>
        <v/>
      </c>
    </row>
    <row r="497">
      <c r="A497" s="35" t="n">
        <v>100</v>
      </c>
      <c r="B497" s="41" t="n">
        <v>46399</v>
      </c>
      <c r="C497" s="35" t="n">
        <v>1</v>
      </c>
      <c r="D497" s="33" t="inlineStr">
        <is>
          <t>Sports</t>
        </is>
      </c>
      <c r="E497" s="36" t="inlineStr">
        <is>
          <t>How many teams played at the 2026 FIFA World Cup?</t>
        </is>
      </c>
      <c r="F497" s="42" t="n">
        <v>48</v>
      </c>
      <c r="G497" s="33" t="inlineStr">
        <is>
          <t>teams</t>
        </is>
      </c>
      <c r="H497" s="35" t="inlineStr">
        <is>
          <t>Easy</t>
        </is>
      </c>
      <c r="I497" s="33" t="inlineStr">
        <is>
          <t>FIFA</t>
        </is>
      </c>
      <c r="J497" s="35" t="n"/>
      <c r="K497" s="33" t="inlineStr">
        <is>
          <t>Added Oct 2026. Spot check before this day goes live.</t>
        </is>
      </c>
      <c r="L497" s="35">
        <f>COUNTIFS($A$2:$A$1501,A497,$D$2:$D$1501,D497)</f>
        <v/>
      </c>
    </row>
    <row r="498">
      <c r="A498" s="35" t="n">
        <v>100</v>
      </c>
      <c r="B498" s="41" t="n">
        <v>46399</v>
      </c>
      <c r="C498" s="35" t="n">
        <v>2</v>
      </c>
      <c r="D498" s="33" t="inlineStr">
        <is>
          <t>Space and Science</t>
        </is>
      </c>
      <c r="E498" s="36" t="inlineStr">
        <is>
          <t>How wide is the Milky Way galaxy?</t>
        </is>
      </c>
      <c r="F498" s="42" t="n">
        <v>100000</v>
      </c>
      <c r="G498" s="33" t="inlineStr">
        <is>
          <t>light-years</t>
        </is>
      </c>
      <c r="H498" s="35" t="inlineStr">
        <is>
          <t>Medium</t>
        </is>
      </c>
      <c r="I498" s="33" t="inlineStr">
        <is>
          <t>NASA</t>
        </is>
      </c>
      <c r="J498" s="35" t="n"/>
      <c r="K498" s="33" t="inlineStr">
        <is>
          <t>Added Oct 2026. Spot check before this day goes live.</t>
        </is>
      </c>
      <c r="L498" s="35">
        <f>COUNTIFS($A$2:$A$1501,A498,$D$2:$D$1501,D498)</f>
        <v/>
      </c>
    </row>
    <row r="499">
      <c r="A499" s="35" t="n">
        <v>100</v>
      </c>
      <c r="B499" s="41" t="n">
        <v>46399</v>
      </c>
      <c r="C499" s="35" t="n">
        <v>3</v>
      </c>
      <c r="D499" s="33" t="inlineStr">
        <is>
          <t>Movies, Music and Games</t>
        </is>
      </c>
      <c r="E499" s="36" t="inlineStr">
        <is>
          <t>How long is Gladiator (2000)?</t>
        </is>
      </c>
      <c r="F499" s="42" t="n">
        <v>155</v>
      </c>
      <c r="G499" s="33" t="inlineStr">
        <is>
          <t>minutes</t>
        </is>
      </c>
      <c r="H499" s="35" t="inlineStr">
        <is>
          <t>Medium</t>
        </is>
      </c>
      <c r="I499" s="33" t="inlineStr">
        <is>
          <t>IMDb</t>
        </is>
      </c>
      <c r="J499" s="35" t="n"/>
      <c r="K499" s="33" t="inlineStr">
        <is>
          <t>Added Oct 2026. Spot check before this day goes live.</t>
        </is>
      </c>
      <c r="L499" s="35">
        <f>COUNTIFS($A$2:$A$1501,A499,$D$2:$D$1501,D499)</f>
        <v/>
      </c>
    </row>
    <row r="500">
      <c r="A500" s="35" t="n">
        <v>100</v>
      </c>
      <c r="B500" s="41" t="n">
        <v>46399</v>
      </c>
      <c r="C500" s="35" t="n">
        <v>4</v>
      </c>
      <c r="D500" s="33" t="inlineStr">
        <is>
          <t>Geography</t>
        </is>
      </c>
      <c r="E500" s="36" t="inlineStr">
        <is>
          <t>How wide is Victoria Falls?</t>
        </is>
      </c>
      <c r="F500" s="42" t="n">
        <v>1708</v>
      </c>
      <c r="G500" s="33" t="inlineStr">
        <is>
          <t>metres</t>
        </is>
      </c>
      <c r="H500" s="35" t="inlineStr">
        <is>
          <t>Hard</t>
        </is>
      </c>
      <c r="I500" s="33" t="inlineStr">
        <is>
          <t>UNESCO</t>
        </is>
      </c>
      <c r="J500" s="35" t="n"/>
      <c r="K500" s="33" t="inlineStr">
        <is>
          <t>Added Oct 2026. Spot check before this day goes live.</t>
        </is>
      </c>
      <c r="L500" s="35">
        <f>COUNTIFS($A$2:$A$1501,A500,$D$2:$D$1501,D500)</f>
        <v/>
      </c>
    </row>
    <row r="501">
      <c r="A501" s="35" t="n">
        <v>100</v>
      </c>
      <c r="B501" s="41" t="n">
        <v>46399</v>
      </c>
      <c r="C501" s="35" t="n">
        <v>5</v>
      </c>
      <c r="D501" s="33" t="inlineStr">
        <is>
          <t>Distance of the Day</t>
        </is>
      </c>
      <c r="E501" s="36" t="inlineStr">
        <is>
          <t>How far is it in a straight line from Miami to Havana?</t>
        </is>
      </c>
      <c r="F501" s="42" t="n">
        <v>370</v>
      </c>
      <c r="G501" s="33" t="inlineStr">
        <is>
          <t>km</t>
        </is>
      </c>
      <c r="H501" s="35" t="inlineStr">
        <is>
          <t>Easy</t>
        </is>
      </c>
      <c r="I501" s="33" t="inlineStr">
        <is>
          <t>Computed great-circle distance (city centre to city centre)</t>
        </is>
      </c>
      <c r="J501" s="35" t="n"/>
      <c r="K501" s="33" t="n"/>
      <c r="L501" s="35">
        <f>COUNTIFS($A$2:$A$1501,A501,$D$2:$D$1501,D501)</f>
        <v/>
      </c>
    </row>
    <row r="502">
      <c r="A502" s="35" t="n">
        <v>101</v>
      </c>
      <c r="B502" s="41" t="n">
        <v>46400</v>
      </c>
      <c r="C502" s="35" t="n">
        <v>1</v>
      </c>
      <c r="D502" s="33" t="inlineStr">
        <is>
          <t>Food and Everyday Life</t>
        </is>
      </c>
      <c r="E502" s="36" t="inlineStr">
        <is>
          <t>How long is a standard credit card?</t>
        </is>
      </c>
      <c r="F502" s="42" t="n">
        <v>85.59999999999999</v>
      </c>
      <c r="G502" s="33" t="inlineStr">
        <is>
          <t>mm</t>
        </is>
      </c>
      <c r="H502" s="35" t="inlineStr">
        <is>
          <t>Medium</t>
        </is>
      </c>
      <c r="I502" s="33" t="inlineStr">
        <is>
          <t>ISO/IEC 7810</t>
        </is>
      </c>
      <c r="J502" s="35" t="n"/>
      <c r="K502" s="33" t="inlineStr">
        <is>
          <t>Added Oct 2026. Spot check before this day goes live.</t>
        </is>
      </c>
      <c r="L502" s="35">
        <f>COUNTIFS($A$2:$A$1501,A502,$D$2:$D$1501,D502)</f>
        <v/>
      </c>
    </row>
    <row r="503">
      <c r="A503" s="35" t="n">
        <v>101</v>
      </c>
      <c r="B503" s="41" t="n">
        <v>46400</v>
      </c>
      <c r="C503" s="35" t="n">
        <v>2</v>
      </c>
      <c r="D503" s="33" t="inlineStr">
        <is>
          <t>Animals and Nature</t>
        </is>
      </c>
      <c r="E503" s="36" t="inlineStr">
        <is>
          <t>How fast can a greyhound run?</t>
        </is>
      </c>
      <c r="F503" s="42" t="n">
        <v>72</v>
      </c>
      <c r="G503" s="33" t="inlineStr">
        <is>
          <t>km/h</t>
        </is>
      </c>
      <c r="H503" s="35" t="inlineStr">
        <is>
          <t>Medium</t>
        </is>
      </c>
      <c r="I503" s="33" t="inlineStr">
        <is>
          <t>American Kennel Club</t>
        </is>
      </c>
      <c r="J503" s="35" t="n"/>
      <c r="K503" s="33" t="inlineStr">
        <is>
          <t>Added Oct 2026. Spot check before this day goes live.</t>
        </is>
      </c>
      <c r="L503" s="35">
        <f>COUNTIFS($A$2:$A$1501,A503,$D$2:$D$1501,D503)</f>
        <v/>
      </c>
    </row>
    <row r="504">
      <c r="A504" s="35" t="n">
        <v>101</v>
      </c>
      <c r="B504" s="41" t="n">
        <v>46400</v>
      </c>
      <c r="C504" s="35" t="n">
        <v>3</v>
      </c>
      <c r="D504" s="33" t="inlineStr">
        <is>
          <t>History</t>
        </is>
      </c>
      <c r="E504" s="36" t="inlineStr">
        <is>
          <t>How long was the Inca road system?</t>
        </is>
      </c>
      <c r="F504" s="42" t="n">
        <v>40000</v>
      </c>
      <c r="G504" s="33" t="inlineStr">
        <is>
          <t>km</t>
        </is>
      </c>
      <c r="H504" s="35" t="inlineStr">
        <is>
          <t>Hard</t>
        </is>
      </c>
      <c r="I504" s="33" t="inlineStr">
        <is>
          <t>UNESCO</t>
        </is>
      </c>
      <c r="J504" s="35" t="n"/>
      <c r="K504" s="33" t="inlineStr">
        <is>
          <t>Added Oct 2026. Spot check before this day goes live.</t>
        </is>
      </c>
      <c r="L504" s="35">
        <f>COUNTIFS($A$2:$A$1501,A504,$D$2:$D$1501,D504)</f>
        <v/>
      </c>
    </row>
    <row r="505">
      <c r="A505" s="35" t="n">
        <v>101</v>
      </c>
      <c r="B505" s="41" t="n">
        <v>46400</v>
      </c>
      <c r="C505" s="35" t="n">
        <v>4</v>
      </c>
      <c r="D505" s="33" t="inlineStr">
        <is>
          <t>Buildings and Engineering</t>
        </is>
      </c>
      <c r="E505" s="36" t="inlineStr">
        <is>
          <t>How long is the arch span of the Sydney Harbour Bridge?</t>
        </is>
      </c>
      <c r="F505" s="42" t="n">
        <v>503</v>
      </c>
      <c r="G505" s="33" t="inlineStr">
        <is>
          <t>metres</t>
        </is>
      </c>
      <c r="H505" s="35" t="inlineStr">
        <is>
          <t>Hard</t>
        </is>
      </c>
      <c r="I505" s="33" t="inlineStr">
        <is>
          <t>NSW Government</t>
        </is>
      </c>
      <c r="J505" s="35" t="n"/>
      <c r="K505" s="33" t="inlineStr">
        <is>
          <t>Added Oct 2026. Spot check before this day goes live.</t>
        </is>
      </c>
      <c r="L505" s="35">
        <f>COUNTIFS($A$2:$A$1501,A505,$D$2:$D$1501,D505)</f>
        <v/>
      </c>
    </row>
    <row r="506">
      <c r="A506" s="35" t="n">
        <v>101</v>
      </c>
      <c r="B506" s="41" t="n">
        <v>46400</v>
      </c>
      <c r="C506" s="35" t="n">
        <v>5</v>
      </c>
      <c r="D506" s="33" t="inlineStr">
        <is>
          <t>Distance of the Day</t>
        </is>
      </c>
      <c r="E506" s="36" t="inlineStr">
        <is>
          <t>How far is it in a straight line from Thunder Bay to Lima?</t>
        </is>
      </c>
      <c r="F506" s="42" t="n">
        <v>6830</v>
      </c>
      <c r="G506" s="33" t="inlineStr">
        <is>
          <t>km</t>
        </is>
      </c>
      <c r="H506" s="35" t="inlineStr">
        <is>
          <t>Medium</t>
        </is>
      </c>
      <c r="I506" s="33" t="inlineStr">
        <is>
          <t>Computed great-circle distance (city centre to city centre)</t>
        </is>
      </c>
      <c r="J506" s="35" t="n"/>
      <c r="K506" s="33" t="n"/>
      <c r="L506" s="35">
        <f>COUNTIFS($A$2:$A$1501,A506,$D$2:$D$1501,D506)</f>
        <v/>
      </c>
    </row>
    <row r="507">
      <c r="A507" s="35" t="n">
        <v>102</v>
      </c>
      <c r="B507" s="41" t="n">
        <v>46401</v>
      </c>
      <c r="C507" s="35" t="n">
        <v>1</v>
      </c>
      <c r="D507" s="33" t="inlineStr">
        <is>
          <t>Sports</t>
        </is>
      </c>
      <c r="E507" s="36" t="inlineStr">
        <is>
          <t>How many players does each basketball team have on the court?</t>
        </is>
      </c>
      <c r="F507" s="42" t="n">
        <v>5</v>
      </c>
      <c r="G507" s="33" t="inlineStr">
        <is>
          <t>players</t>
        </is>
      </c>
      <c r="H507" s="35" t="inlineStr">
        <is>
          <t>Easy</t>
        </is>
      </c>
      <c r="I507" s="33" t="inlineStr">
        <is>
          <t>NBA rulebook</t>
        </is>
      </c>
      <c r="J507" s="35" t="n"/>
      <c r="K507" s="33" t="inlineStr">
        <is>
          <t>Added Oct 2026. Spot check before this day goes live.</t>
        </is>
      </c>
      <c r="L507" s="35">
        <f>COUNTIFS($A$2:$A$1501,A507,$D$2:$D$1501,D507)</f>
        <v/>
      </c>
    </row>
    <row r="508">
      <c r="A508" s="35" t="n">
        <v>102</v>
      </c>
      <c r="B508" s="41" t="n">
        <v>46401</v>
      </c>
      <c r="C508" s="35" t="n">
        <v>2</v>
      </c>
      <c r="D508" s="33" t="inlineStr">
        <is>
          <t>Space and Science</t>
        </is>
      </c>
      <c r="E508" s="36" t="inlineStr">
        <is>
          <t>How far away is the Andromeda Galaxy?</t>
        </is>
      </c>
      <c r="F508" s="42" t="n">
        <v>2.5</v>
      </c>
      <c r="G508" s="33" t="inlineStr">
        <is>
          <t>million light-years</t>
        </is>
      </c>
      <c r="H508" s="35" t="inlineStr">
        <is>
          <t>Medium</t>
        </is>
      </c>
      <c r="I508" s="33" t="inlineStr">
        <is>
          <t>NASA</t>
        </is>
      </c>
      <c r="J508" s="35" t="n"/>
      <c r="K508" s="33" t="inlineStr">
        <is>
          <t>Added Oct 2026. Spot check before this day goes live.</t>
        </is>
      </c>
      <c r="L508" s="35">
        <f>COUNTIFS($A$2:$A$1501,A508,$D$2:$D$1501,D508)</f>
        <v/>
      </c>
    </row>
    <row r="509">
      <c r="A509" s="35" t="n">
        <v>102</v>
      </c>
      <c r="B509" s="41" t="n">
        <v>46401</v>
      </c>
      <c r="C509" s="35" t="n">
        <v>3</v>
      </c>
      <c r="D509" s="33" t="inlineStr">
        <is>
          <t>Movies, Music and Games</t>
        </is>
      </c>
      <c r="E509" s="36" t="inlineStr">
        <is>
          <t>How many weeks did Despacito spend at number one on the Billboard Hot 100?</t>
        </is>
      </c>
      <c r="F509" s="42" t="n">
        <v>16</v>
      </c>
      <c r="G509" s="33" t="inlineStr">
        <is>
          <t>weeks</t>
        </is>
      </c>
      <c r="H509" s="35" t="inlineStr">
        <is>
          <t>Hard</t>
        </is>
      </c>
      <c r="I509" s="33" t="inlineStr">
        <is>
          <t>Billboard</t>
        </is>
      </c>
      <c r="J509" s="35" t="n"/>
      <c r="K509" s="33" t="inlineStr">
        <is>
          <t>Added Oct 2026. Spot check before this day goes live.</t>
        </is>
      </c>
      <c r="L509" s="35">
        <f>COUNTIFS($A$2:$A$1501,A509,$D$2:$D$1501,D509)</f>
        <v/>
      </c>
    </row>
    <row r="510">
      <c r="A510" s="35" t="n">
        <v>102</v>
      </c>
      <c r="B510" s="41" t="n">
        <v>46401</v>
      </c>
      <c r="C510" s="35" t="n">
        <v>4</v>
      </c>
      <c r="D510" s="33" t="inlineStr">
        <is>
          <t>Canada</t>
        </is>
      </c>
      <c r="E510" s="36" t="inlineStr">
        <is>
          <t>How big is Lake Winnipeg?</t>
        </is>
      </c>
      <c r="F510" s="42" t="n">
        <v>24514</v>
      </c>
      <c r="G510" s="33" t="inlineStr">
        <is>
          <t>km²</t>
        </is>
      </c>
      <c r="H510" s="35" t="inlineStr">
        <is>
          <t>Hard</t>
        </is>
      </c>
      <c r="I510" s="33" t="inlineStr">
        <is>
          <t>Government of Manitoba</t>
        </is>
      </c>
      <c r="J510" s="35" t="n"/>
      <c r="K510" s="33" t="inlineStr">
        <is>
          <t>Added Oct 2026. Spot check before this day goes live.</t>
        </is>
      </c>
      <c r="L510" s="35">
        <f>COUNTIFS($A$2:$A$1501,A510,$D$2:$D$1501,D510)</f>
        <v/>
      </c>
    </row>
    <row r="511">
      <c r="A511" s="35" t="n">
        <v>102</v>
      </c>
      <c r="B511" s="41" t="n">
        <v>46401</v>
      </c>
      <c r="C511" s="35" t="n">
        <v>5</v>
      </c>
      <c r="D511" s="33" t="inlineStr">
        <is>
          <t>Distance of the Day</t>
        </is>
      </c>
      <c r="E511" s="36" t="inlineStr">
        <is>
          <t>How far is it in a straight line from Thunder Bay to Buenos Aires?</t>
        </is>
      </c>
      <c r="F511" s="42" t="n">
        <v>9720</v>
      </c>
      <c r="G511" s="33" t="inlineStr">
        <is>
          <t>km</t>
        </is>
      </c>
      <c r="H511" s="35" t="inlineStr">
        <is>
          <t>Hard</t>
        </is>
      </c>
      <c r="I511" s="33" t="inlineStr">
        <is>
          <t>Computed great-circle distance (city centre to city centre)</t>
        </is>
      </c>
      <c r="J511" s="35" t="n"/>
      <c r="K511" s="33" t="n"/>
      <c r="L511" s="35">
        <f>COUNTIFS($A$2:$A$1501,A511,$D$2:$D$1501,D511)</f>
        <v/>
      </c>
    </row>
    <row r="512">
      <c r="A512" s="35" t="n">
        <v>103</v>
      </c>
      <c r="B512" s="41" t="n">
        <v>46402</v>
      </c>
      <c r="C512" s="35" t="n">
        <v>1</v>
      </c>
      <c r="D512" s="33" t="inlineStr">
        <is>
          <t>Food and Everyday Life</t>
        </is>
      </c>
      <c r="E512" s="36" t="inlineStr">
        <is>
          <t>How many days are in a leap year?</t>
        </is>
      </c>
      <c r="F512" s="42" t="n">
        <v>366</v>
      </c>
      <c r="G512" s="33" t="inlineStr">
        <is>
          <t>days</t>
        </is>
      </c>
      <c r="H512" s="35" t="inlineStr">
        <is>
          <t>Easy</t>
        </is>
      </c>
      <c r="I512" s="33" t="inlineStr">
        <is>
          <t>National Research Council Canada</t>
        </is>
      </c>
      <c r="J512" s="35" t="n"/>
      <c r="K512" s="33" t="inlineStr">
        <is>
          <t>Added Oct 2026. Spot check before this day goes live.</t>
        </is>
      </c>
      <c r="L512" s="35">
        <f>COUNTIFS($A$2:$A$1501,A512,$D$2:$D$1501,D512)</f>
        <v/>
      </c>
    </row>
    <row r="513">
      <c r="A513" s="35" t="n">
        <v>103</v>
      </c>
      <c r="B513" s="41" t="n">
        <v>46402</v>
      </c>
      <c r="C513" s="35" t="n">
        <v>2</v>
      </c>
      <c r="D513" s="33" t="inlineStr">
        <is>
          <t>Geography</t>
        </is>
      </c>
      <c r="E513" s="36" t="inlineStr">
        <is>
          <t>How long was the original Route 66?</t>
        </is>
      </c>
      <c r="F513" s="42" t="n">
        <v>3940</v>
      </c>
      <c r="G513" s="33" t="inlineStr">
        <is>
          <t>km</t>
        </is>
      </c>
      <c r="H513" s="35" t="inlineStr">
        <is>
          <t>Medium</t>
        </is>
      </c>
      <c r="I513" s="33" t="inlineStr">
        <is>
          <t>US National Park Service</t>
        </is>
      </c>
      <c r="J513" s="35" t="n"/>
      <c r="K513" s="33" t="inlineStr">
        <is>
          <t>Added Oct 2026. Spot check before this day goes live.</t>
        </is>
      </c>
      <c r="L513" s="35">
        <f>COUNTIFS($A$2:$A$1501,A513,$D$2:$D$1501,D513)</f>
        <v/>
      </c>
    </row>
    <row r="514">
      <c r="A514" s="35" t="n">
        <v>103</v>
      </c>
      <c r="B514" s="41" t="n">
        <v>46402</v>
      </c>
      <c r="C514" s="35" t="n">
        <v>3</v>
      </c>
      <c r="D514" s="33" t="inlineStr">
        <is>
          <t>Animals and Nature</t>
        </is>
      </c>
      <c r="E514" s="36" t="inlineStr">
        <is>
          <t>How long is a giraffe's tongue?</t>
        </is>
      </c>
      <c r="F514" s="42" t="n">
        <v>50</v>
      </c>
      <c r="G514" s="33" t="inlineStr">
        <is>
          <t>cm</t>
        </is>
      </c>
      <c r="H514" s="35" t="inlineStr">
        <is>
          <t>Medium</t>
        </is>
      </c>
      <c r="I514" s="33" t="inlineStr">
        <is>
          <t>San Diego Zoo</t>
        </is>
      </c>
      <c r="J514" s="35" t="n"/>
      <c r="K514" s="33" t="inlineStr">
        <is>
          <t>Added Oct 2026. Spot check before this day goes live.</t>
        </is>
      </c>
      <c r="L514" s="35">
        <f>COUNTIFS($A$2:$A$1501,A514,$D$2:$D$1501,D514)</f>
        <v/>
      </c>
    </row>
    <row r="515">
      <c r="A515" s="35" t="n">
        <v>103</v>
      </c>
      <c r="B515" s="41" t="n">
        <v>46402</v>
      </c>
      <c r="C515" s="35" t="n">
        <v>4</v>
      </c>
      <c r="D515" s="33" t="inlineStr">
        <is>
          <t>Buildings and Engineering</t>
        </is>
      </c>
      <c r="E515" s="36" t="inlineStr">
        <is>
          <t>How tall is Merdeka 118 in Kuala Lumpur, the world's second tallest building?</t>
        </is>
      </c>
      <c r="F515" s="42" t="n">
        <v>679</v>
      </c>
      <c r="G515" s="33" t="inlineStr">
        <is>
          <t>metres</t>
        </is>
      </c>
      <c r="H515" s="35" t="inlineStr">
        <is>
          <t>Hard</t>
        </is>
      </c>
      <c r="I515" s="33" t="inlineStr">
        <is>
          <t>CTBUH</t>
        </is>
      </c>
      <c r="J515" s="35" t="n"/>
      <c r="K515" s="33" t="inlineStr">
        <is>
          <t>Added Oct 2026. Spot check before this day goes live.</t>
        </is>
      </c>
      <c r="L515" s="35">
        <f>COUNTIFS($A$2:$A$1501,A515,$D$2:$D$1501,D515)</f>
        <v/>
      </c>
    </row>
    <row r="516">
      <c r="A516" s="35" t="n">
        <v>103</v>
      </c>
      <c r="B516" s="41" t="n">
        <v>46402</v>
      </c>
      <c r="C516" s="35" t="n">
        <v>5</v>
      </c>
      <c r="D516" s="33" t="inlineStr">
        <is>
          <t>Distance of the Day</t>
        </is>
      </c>
      <c r="E516" s="36" t="inlineStr">
        <is>
          <t>How far is it in a straight line from Miami to Punta Cana?</t>
        </is>
      </c>
      <c r="F516" s="42" t="n">
        <v>1460</v>
      </c>
      <c r="G516" s="33" t="inlineStr">
        <is>
          <t>km</t>
        </is>
      </c>
      <c r="H516" s="35" t="inlineStr">
        <is>
          <t>Easy</t>
        </is>
      </c>
      <c r="I516" s="33" t="inlineStr">
        <is>
          <t>Computed great-circle distance (city centre to city centre)</t>
        </is>
      </c>
      <c r="J516" s="35" t="n"/>
      <c r="K516" s="33" t="n"/>
      <c r="L516" s="35">
        <f>COUNTIFS($A$2:$A$1501,A516,$D$2:$D$1501,D516)</f>
        <v/>
      </c>
    </row>
    <row r="517">
      <c r="A517" s="35" t="n">
        <v>104</v>
      </c>
      <c r="B517" s="41" t="n">
        <v>46403</v>
      </c>
      <c r="C517" s="35" t="n">
        <v>1</v>
      </c>
      <c r="D517" s="33" t="inlineStr">
        <is>
          <t>Sports</t>
        </is>
      </c>
      <c r="E517" s="36" t="inlineStr">
        <is>
          <t>How tall is a regulation soccer goal?</t>
        </is>
      </c>
      <c r="F517" s="42" t="n">
        <v>2.44</v>
      </c>
      <c r="G517" s="33" t="inlineStr">
        <is>
          <t>metres</t>
        </is>
      </c>
      <c r="H517" s="35" t="inlineStr">
        <is>
          <t>Medium</t>
        </is>
      </c>
      <c r="I517" s="33" t="inlineStr">
        <is>
          <t>IFAB Laws of the Game</t>
        </is>
      </c>
      <c r="J517" s="35" t="n"/>
      <c r="K517" s="33" t="inlineStr">
        <is>
          <t>Added Oct 2026. Spot check before this day goes live.</t>
        </is>
      </c>
      <c r="L517" s="35">
        <f>COUNTIFS($A$2:$A$1501,A517,$D$2:$D$1501,D517)</f>
        <v/>
      </c>
    </row>
    <row r="518">
      <c r="A518" s="35" t="n">
        <v>104</v>
      </c>
      <c r="B518" s="41" t="n">
        <v>46403</v>
      </c>
      <c r="C518" s="35" t="n">
        <v>2</v>
      </c>
      <c r="D518" s="33" t="inlineStr">
        <is>
          <t>Space and Science</t>
        </is>
      </c>
      <c r="E518" s="36" t="inlineStr">
        <is>
          <t>What percentage of Earth's gravity do you feel on the Moon?</t>
        </is>
      </c>
      <c r="F518" s="42" t="n">
        <v>16.6</v>
      </c>
      <c r="G518" s="33" t="inlineStr">
        <is>
          <t>%</t>
        </is>
      </c>
      <c r="H518" s="35" t="inlineStr">
        <is>
          <t>Medium</t>
        </is>
      </c>
      <c r="I518" s="33" t="inlineStr">
        <is>
          <t>NASA</t>
        </is>
      </c>
      <c r="J518" s="35" t="n"/>
      <c r="K518" s="33" t="inlineStr">
        <is>
          <t>Added Oct 2026. Spot check before this day goes live.</t>
        </is>
      </c>
      <c r="L518" s="35">
        <f>COUNTIFS($A$2:$A$1501,A518,$D$2:$D$1501,D518)</f>
        <v/>
      </c>
    </row>
    <row r="519">
      <c r="A519" s="35" t="n">
        <v>104</v>
      </c>
      <c r="B519" s="41" t="n">
        <v>46403</v>
      </c>
      <c r="C519" s="35" t="n">
        <v>3</v>
      </c>
      <c r="D519" s="33" t="inlineStr">
        <is>
          <t>Movies, Music and Games</t>
        </is>
      </c>
      <c r="E519" s="36" t="inlineStr">
        <is>
          <t>How many episodes were in the original Star Trek series?</t>
        </is>
      </c>
      <c r="F519" s="42" t="n">
        <v>79</v>
      </c>
      <c r="G519" s="33" t="inlineStr">
        <is>
          <t>episodes</t>
        </is>
      </c>
      <c r="H519" s="35" t="inlineStr">
        <is>
          <t>Hard</t>
        </is>
      </c>
      <c r="I519" s="33" t="inlineStr">
        <is>
          <t>Paramount</t>
        </is>
      </c>
      <c r="J519" s="35" t="n"/>
      <c r="K519" s="33" t="inlineStr">
        <is>
          <t>Added Oct 2026. Spot check before this day goes live.</t>
        </is>
      </c>
      <c r="L519" s="35">
        <f>COUNTIFS($A$2:$A$1501,A519,$D$2:$D$1501,D519)</f>
        <v/>
      </c>
    </row>
    <row r="520">
      <c r="A520" s="35" t="n">
        <v>104</v>
      </c>
      <c r="B520" s="41" t="n">
        <v>46403</v>
      </c>
      <c r="C520" s="35" t="n">
        <v>4</v>
      </c>
      <c r="D520" s="33" t="inlineStr">
        <is>
          <t>Human Body</t>
        </is>
      </c>
      <c r="E520" s="36" t="inlineStr">
        <is>
          <t>How fast can the fastest nerve signals travel?</t>
        </is>
      </c>
      <c r="F520" s="42" t="n">
        <v>120</v>
      </c>
      <c r="G520" s="33" t="inlineStr">
        <is>
          <t>metres per second</t>
        </is>
      </c>
      <c r="H520" s="35" t="inlineStr">
        <is>
          <t>Hard</t>
        </is>
      </c>
      <c r="I520" s="33" t="inlineStr">
        <is>
          <t>Britannica</t>
        </is>
      </c>
      <c r="J520" s="35" t="n"/>
      <c r="K520" s="33" t="inlineStr">
        <is>
          <t>Added Oct 2026. Spot check before this day goes live.</t>
        </is>
      </c>
      <c r="L520" s="35">
        <f>COUNTIFS($A$2:$A$1501,A520,$D$2:$D$1501,D520)</f>
        <v/>
      </c>
    </row>
    <row r="521">
      <c r="A521" s="35" t="n">
        <v>104</v>
      </c>
      <c r="B521" s="41" t="n">
        <v>46403</v>
      </c>
      <c r="C521" s="35" t="n">
        <v>5</v>
      </c>
      <c r="D521" s="33" t="inlineStr">
        <is>
          <t>Distance of the Day</t>
        </is>
      </c>
      <c r="E521" s="36" t="inlineStr">
        <is>
          <t>How far is it in a straight line from Whitehorse to Havana?</t>
        </is>
      </c>
      <c r="F521" s="42" t="n">
        <v>5790</v>
      </c>
      <c r="G521" s="33" t="inlineStr">
        <is>
          <t>km</t>
        </is>
      </c>
      <c r="H521" s="35" t="inlineStr">
        <is>
          <t>Medium</t>
        </is>
      </c>
      <c r="I521" s="33" t="inlineStr">
        <is>
          <t>Computed great-circle distance (city centre to city centre)</t>
        </is>
      </c>
      <c r="J521" s="35" t="n"/>
      <c r="K521" s="33" t="n"/>
      <c r="L521" s="35">
        <f>COUNTIFS($A$2:$A$1501,A521,$D$2:$D$1501,D521)</f>
        <v/>
      </c>
    </row>
    <row r="522">
      <c r="A522" s="35" t="n">
        <v>105</v>
      </c>
      <c r="B522" s="41" t="n">
        <v>46404</v>
      </c>
      <c r="C522" s="35" t="n">
        <v>1</v>
      </c>
      <c r="D522" s="33" t="inlineStr">
        <is>
          <t>Canada</t>
        </is>
      </c>
      <c r="E522" s="36" t="inlineStr">
        <is>
          <t>How many characters are in a Canadian postal code?</t>
        </is>
      </c>
      <c r="F522" s="42" t="n">
        <v>6</v>
      </c>
      <c r="G522" s="33" t="inlineStr">
        <is>
          <t>characters</t>
        </is>
      </c>
      <c r="H522" s="35" t="inlineStr">
        <is>
          <t>Easy</t>
        </is>
      </c>
      <c r="I522" s="33" t="inlineStr">
        <is>
          <t>Canada Post</t>
        </is>
      </c>
      <c r="J522" s="35" t="n"/>
      <c r="K522" s="33" t="inlineStr">
        <is>
          <t>Added Oct 2026. Spot check before this day goes live.</t>
        </is>
      </c>
      <c r="L522" s="35">
        <f>COUNTIFS($A$2:$A$1501,A522,$D$2:$D$1501,D522)</f>
        <v/>
      </c>
    </row>
    <row r="523">
      <c r="A523" s="35" t="n">
        <v>105</v>
      </c>
      <c r="B523" s="41" t="n">
        <v>46404</v>
      </c>
      <c r="C523" s="35" t="n">
        <v>2</v>
      </c>
      <c r="D523" s="33" t="inlineStr">
        <is>
          <t>Geography</t>
        </is>
      </c>
      <c r="E523" s="36" t="inlineStr">
        <is>
          <t>How many countries share a land border with Brazil?</t>
        </is>
      </c>
      <c r="F523" s="42" t="n">
        <v>10</v>
      </c>
      <c r="G523" s="33" t="inlineStr">
        <is>
          <t>countries</t>
        </is>
      </c>
      <c r="H523" s="35" t="inlineStr">
        <is>
          <t>Medium</t>
        </is>
      </c>
      <c r="I523" s="33" t="inlineStr">
        <is>
          <t>Britannica</t>
        </is>
      </c>
      <c r="J523" s="35" t="n"/>
      <c r="K523" s="33" t="inlineStr">
        <is>
          <t>Added Oct 2026. Spot check before this day goes live.</t>
        </is>
      </c>
      <c r="L523" s="35">
        <f>COUNTIFS($A$2:$A$1501,A523,$D$2:$D$1501,D523)</f>
        <v/>
      </c>
    </row>
    <row r="524">
      <c r="A524" s="35" t="n">
        <v>105</v>
      </c>
      <c r="B524" s="41" t="n">
        <v>46404</v>
      </c>
      <c r="C524" s="35" t="n">
        <v>3</v>
      </c>
      <c r="D524" s="33" t="inlineStr">
        <is>
          <t>Food and Everyday Life</t>
        </is>
      </c>
      <c r="E524" s="36" t="inlineStr">
        <is>
          <t>How many minutes does it take to soft-boil an egg?</t>
        </is>
      </c>
      <c r="F524" s="42" t="n">
        <v>6</v>
      </c>
      <c r="G524" s="33" t="inlineStr">
        <is>
          <t>minutes</t>
        </is>
      </c>
      <c r="H524" s="35" t="inlineStr">
        <is>
          <t>Medium</t>
        </is>
      </c>
      <c r="I524" s="33" t="inlineStr">
        <is>
          <t>Egg Farmers of Canada</t>
        </is>
      </c>
      <c r="J524" s="35" t="n"/>
      <c r="K524" s="33" t="inlineStr">
        <is>
          <t>Added Oct 2026. Spot check before this day goes live.</t>
        </is>
      </c>
      <c r="L524" s="35">
        <f>COUNTIFS($A$2:$A$1501,A524,$D$2:$D$1501,D524)</f>
        <v/>
      </c>
    </row>
    <row r="525">
      <c r="A525" s="35" t="n">
        <v>105</v>
      </c>
      <c r="B525" s="41" t="n">
        <v>46404</v>
      </c>
      <c r="C525" s="35" t="n">
        <v>4</v>
      </c>
      <c r="D525" s="33" t="inlineStr">
        <is>
          <t>History</t>
        </is>
      </c>
      <c r="E525" s="36" t="inlineStr">
        <is>
          <t>How many people died in the immediate aftermath of the Chernobyl disaster, per the official count?</t>
        </is>
      </c>
      <c r="F525" s="42" t="n">
        <v>31</v>
      </c>
      <c r="G525" s="33" t="inlineStr">
        <is>
          <t>people</t>
        </is>
      </c>
      <c r="H525" s="35" t="inlineStr">
        <is>
          <t>Hard</t>
        </is>
      </c>
      <c r="I525" s="33" t="inlineStr">
        <is>
          <t>IAEA</t>
        </is>
      </c>
      <c r="J525" s="35" t="n"/>
      <c r="K525" s="33" t="inlineStr">
        <is>
          <t>Added Oct 2026. Spot check before this day goes live.</t>
        </is>
      </c>
      <c r="L525" s="35">
        <f>COUNTIFS($A$2:$A$1501,A525,$D$2:$D$1501,D525)</f>
        <v/>
      </c>
    </row>
    <row r="526">
      <c r="A526" s="35" t="n">
        <v>105</v>
      </c>
      <c r="B526" s="41" t="n">
        <v>46404</v>
      </c>
      <c r="C526" s="35" t="n">
        <v>5</v>
      </c>
      <c r="D526" s="33" t="inlineStr">
        <is>
          <t>Distance of the Day</t>
        </is>
      </c>
      <c r="E526" s="36" t="inlineStr">
        <is>
          <t>How far is it in a straight line from Quebec City to Whitehorse?</t>
        </is>
      </c>
      <c r="F526" s="42" t="n">
        <v>4270</v>
      </c>
      <c r="G526" s="33" t="inlineStr">
        <is>
          <t>km</t>
        </is>
      </c>
      <c r="H526" s="35" t="inlineStr">
        <is>
          <t>Medium</t>
        </is>
      </c>
      <c r="I526" s="33" t="inlineStr">
        <is>
          <t>Computed great-circle distance (city centre to city centre)</t>
        </is>
      </c>
      <c r="J526" s="35" t="n"/>
      <c r="K526" s="33" t="n"/>
      <c r="L526" s="35">
        <f>COUNTIFS($A$2:$A$1501,A526,$D$2:$D$1501,D526)</f>
        <v/>
      </c>
    </row>
    <row r="527">
      <c r="A527" s="35" t="n">
        <v>106</v>
      </c>
      <c r="B527" s="41" t="n">
        <v>46405</v>
      </c>
      <c r="C527" s="35" t="n">
        <v>1</v>
      </c>
      <c r="D527" s="33" t="inlineStr">
        <is>
          <t>Sports</t>
        </is>
      </c>
      <c r="E527" s="36" t="inlineStr">
        <is>
          <t>How many innings are in a regulation MLB game?</t>
        </is>
      </c>
      <c r="F527" s="42" t="n">
        <v>9</v>
      </c>
      <c r="G527" s="33" t="inlineStr">
        <is>
          <t>innings</t>
        </is>
      </c>
      <c r="H527" s="35" t="inlineStr">
        <is>
          <t>Easy</t>
        </is>
      </c>
      <c r="I527" s="33" t="inlineStr">
        <is>
          <t>MLB rulebook</t>
        </is>
      </c>
      <c r="J527" s="35" t="n"/>
      <c r="K527" s="33" t="inlineStr">
        <is>
          <t>Added Oct 2026. Spot check before this day goes live.</t>
        </is>
      </c>
      <c r="L527" s="35">
        <f>COUNTIFS($A$2:$A$1501,A527,$D$2:$D$1501,D527)</f>
        <v/>
      </c>
    </row>
    <row r="528">
      <c r="A528" s="35" t="n">
        <v>106</v>
      </c>
      <c r="B528" s="41" t="n">
        <v>46405</v>
      </c>
      <c r="C528" s="35" t="n">
        <v>2</v>
      </c>
      <c r="D528" s="33" t="inlineStr">
        <is>
          <t>Space and Science</t>
        </is>
      </c>
      <c r="E528" s="36" t="inlineStr">
        <is>
          <t>What is the atomic number of iron?</t>
        </is>
      </c>
      <c r="F528" s="42" t="n">
        <v>26</v>
      </c>
      <c r="G528" s="33" t="n"/>
      <c r="H528" s="35" t="inlineStr">
        <is>
          <t>Medium</t>
        </is>
      </c>
      <c r="I528" s="33" t="inlineStr">
        <is>
          <t>IUPAC periodic table</t>
        </is>
      </c>
      <c r="J528" s="35" t="n"/>
      <c r="K528" s="33" t="inlineStr">
        <is>
          <t>Added Oct 2026. Spot check before this day goes live.</t>
        </is>
      </c>
      <c r="L528" s="35">
        <f>COUNTIFS($A$2:$A$1501,A528,$D$2:$D$1501,D528)</f>
        <v/>
      </c>
    </row>
    <row r="529">
      <c r="A529" s="35" t="n">
        <v>106</v>
      </c>
      <c r="B529" s="41" t="n">
        <v>46405</v>
      </c>
      <c r="C529" s="35" t="n">
        <v>3</v>
      </c>
      <c r="D529" s="33" t="inlineStr">
        <is>
          <t>Movies, Music and Games</t>
        </is>
      </c>
      <c r="E529" s="36" t="inlineStr">
        <is>
          <t>How long is Killers of the Flower Moon?</t>
        </is>
      </c>
      <c r="F529" s="42" t="n">
        <v>206</v>
      </c>
      <c r="G529" s="33" t="inlineStr">
        <is>
          <t>minutes</t>
        </is>
      </c>
      <c r="H529" s="35" t="inlineStr">
        <is>
          <t>Hard</t>
        </is>
      </c>
      <c r="I529" s="33" t="inlineStr">
        <is>
          <t>IMDb</t>
        </is>
      </c>
      <c r="J529" s="35" t="n"/>
      <c r="K529" s="33" t="inlineStr">
        <is>
          <t>Added Oct 2026. Spot check before this day goes live.</t>
        </is>
      </c>
      <c r="L529" s="35">
        <f>COUNTIFS($A$2:$A$1501,A529,$D$2:$D$1501,D529)</f>
        <v/>
      </c>
    </row>
    <row r="530">
      <c r="A530" s="35" t="n">
        <v>106</v>
      </c>
      <c r="B530" s="41" t="n">
        <v>46405</v>
      </c>
      <c r="C530" s="35" t="n">
        <v>4</v>
      </c>
      <c r="D530" s="33" t="inlineStr">
        <is>
          <t>Animals and Nature</t>
        </is>
      </c>
      <c r="E530" s="36" t="inlineStr">
        <is>
          <t>How deep can a sperm whale dive?</t>
        </is>
      </c>
      <c r="F530" s="42" t="n">
        <v>2250</v>
      </c>
      <c r="G530" s="33" t="inlineStr">
        <is>
          <t>metres</t>
        </is>
      </c>
      <c r="H530" s="35" t="inlineStr">
        <is>
          <t>Hard</t>
        </is>
      </c>
      <c r="I530" s="33" t="inlineStr">
        <is>
          <t>NOAA Fisheries</t>
        </is>
      </c>
      <c r="J530" s="35" t="n"/>
      <c r="K530" s="33" t="inlineStr">
        <is>
          <t>Added Oct 2026. Spot check before this day goes live.</t>
        </is>
      </c>
      <c r="L530" s="35">
        <f>COUNTIFS($A$2:$A$1501,A530,$D$2:$D$1501,D530)</f>
        <v/>
      </c>
    </row>
    <row r="531">
      <c r="A531" s="35" t="n">
        <v>106</v>
      </c>
      <c r="B531" s="41" t="n">
        <v>46405</v>
      </c>
      <c r="C531" s="35" t="n">
        <v>5</v>
      </c>
      <c r="D531" s="33" t="inlineStr">
        <is>
          <t>Distance of the Day</t>
        </is>
      </c>
      <c r="E531" s="36" t="inlineStr">
        <is>
          <t>How far is it in a straight line from Washington, D.C. to Cairo?</t>
        </is>
      </c>
      <c r="F531" s="42" t="n">
        <v>9350</v>
      </c>
      <c r="G531" s="33" t="inlineStr">
        <is>
          <t>km</t>
        </is>
      </c>
      <c r="H531" s="35" t="inlineStr">
        <is>
          <t>Hard</t>
        </is>
      </c>
      <c r="I531" s="33" t="inlineStr">
        <is>
          <t>Computed great-circle distance (city centre to city centre)</t>
        </is>
      </c>
      <c r="J531" s="35" t="n"/>
      <c r="K531" s="33" t="n"/>
      <c r="L531" s="35">
        <f>COUNTIFS($A$2:$A$1501,A531,$D$2:$D$1501,D531)</f>
        <v/>
      </c>
    </row>
    <row r="532">
      <c r="A532" s="35" t="n">
        <v>107</v>
      </c>
      <c r="B532" s="41" t="n">
        <v>46406</v>
      </c>
      <c r="C532" s="35" t="n">
        <v>1</v>
      </c>
      <c r="D532" s="33" t="inlineStr">
        <is>
          <t>Buildings and Engineering</t>
        </is>
      </c>
      <c r="E532" s="36" t="inlineStr">
        <is>
          <t>How tall is the Arc de Triomphe in Paris?</t>
        </is>
      </c>
      <c r="F532" s="42" t="n">
        <v>50</v>
      </c>
      <c r="G532" s="33" t="inlineStr">
        <is>
          <t>metres</t>
        </is>
      </c>
      <c r="H532" s="35" t="inlineStr">
        <is>
          <t>Medium</t>
        </is>
      </c>
      <c r="I532" s="33" t="inlineStr">
        <is>
          <t>Centre des monuments nationaux</t>
        </is>
      </c>
      <c r="J532" s="35" t="n"/>
      <c r="K532" s="33" t="inlineStr">
        <is>
          <t>Added Oct 2026. Spot check before this day goes live.</t>
        </is>
      </c>
      <c r="L532" s="35">
        <f>COUNTIFS($A$2:$A$1501,A532,$D$2:$D$1501,D532)</f>
        <v/>
      </c>
    </row>
    <row r="533">
      <c r="A533" s="35" t="n">
        <v>107</v>
      </c>
      <c r="B533" s="41" t="n">
        <v>46406</v>
      </c>
      <c r="C533" s="35" t="n">
        <v>2</v>
      </c>
      <c r="D533" s="33" t="inlineStr">
        <is>
          <t>Human Body</t>
        </is>
      </c>
      <c r="E533" s="36" t="inlineStr">
        <is>
          <t>How many days can a person usually survive without water?</t>
        </is>
      </c>
      <c r="F533" s="42" t="n">
        <v>3</v>
      </c>
      <c r="G533" s="33" t="inlineStr">
        <is>
          <t>days</t>
        </is>
      </c>
      <c r="H533" s="35" t="inlineStr">
        <is>
          <t>Medium</t>
        </is>
      </c>
      <c r="I533" s="33" t="inlineStr">
        <is>
          <t>Britannica</t>
        </is>
      </c>
      <c r="J533" s="35" t="n"/>
      <c r="K533" s="33" t="inlineStr">
        <is>
          <t>Added Oct 2026. Spot check before this day goes live.</t>
        </is>
      </c>
      <c r="L533" s="35">
        <f>COUNTIFS($A$2:$A$1501,A533,$D$2:$D$1501,D533)</f>
        <v/>
      </c>
    </row>
    <row r="534">
      <c r="A534" s="35" t="n">
        <v>107</v>
      </c>
      <c r="B534" s="41" t="n">
        <v>46406</v>
      </c>
      <c r="C534" s="35" t="n">
        <v>3</v>
      </c>
      <c r="D534" s="33" t="inlineStr">
        <is>
          <t>History</t>
        </is>
      </c>
      <c r="E534" s="36" t="inlineStr">
        <is>
          <t>How many years did Ramses II reign over Egypt?</t>
        </is>
      </c>
      <c r="F534" s="42" t="n">
        <v>66</v>
      </c>
      <c r="G534" s="33" t="inlineStr">
        <is>
          <t>years</t>
        </is>
      </c>
      <c r="H534" s="35" t="inlineStr">
        <is>
          <t>Hard</t>
        </is>
      </c>
      <c r="I534" s="33" t="inlineStr">
        <is>
          <t>Britannica</t>
        </is>
      </c>
      <c r="J534" s="35" t="n"/>
      <c r="K534" s="33" t="inlineStr">
        <is>
          <t>Added Oct 2026. Spot check before this day goes live.</t>
        </is>
      </c>
      <c r="L534" s="35">
        <f>COUNTIFS($A$2:$A$1501,A534,$D$2:$D$1501,D534)</f>
        <v/>
      </c>
    </row>
    <row r="535">
      <c r="A535" s="35" t="n">
        <v>107</v>
      </c>
      <c r="B535" s="41" t="n">
        <v>46406</v>
      </c>
      <c r="C535" s="35" t="n">
        <v>4</v>
      </c>
      <c r="D535" s="33" t="inlineStr">
        <is>
          <t>Geography</t>
        </is>
      </c>
      <c r="E535" s="36" t="inlineStr">
        <is>
          <t>How long is the Mekong River?</t>
        </is>
      </c>
      <c r="F535" s="42" t="n">
        <v>4350</v>
      </c>
      <c r="G535" s="33" t="inlineStr">
        <is>
          <t>km</t>
        </is>
      </c>
      <c r="H535" s="35" t="inlineStr">
        <is>
          <t>Hard</t>
        </is>
      </c>
      <c r="I535" s="33" t="inlineStr">
        <is>
          <t>Mekong River Commission</t>
        </is>
      </c>
      <c r="J535" s="35" t="n"/>
      <c r="K535" s="33" t="inlineStr">
        <is>
          <t>Added Oct 2026. Spot check before this day goes live.</t>
        </is>
      </c>
      <c r="L535" s="35">
        <f>COUNTIFS($A$2:$A$1501,A535,$D$2:$D$1501,D535)</f>
        <v/>
      </c>
    </row>
    <row r="536">
      <c r="A536" s="35" t="n">
        <v>107</v>
      </c>
      <c r="B536" s="41" t="n">
        <v>46406</v>
      </c>
      <c r="C536" s="35" t="n">
        <v>5</v>
      </c>
      <c r="D536" s="33" t="inlineStr">
        <is>
          <t>Distance of the Day</t>
        </is>
      </c>
      <c r="E536" s="36" t="inlineStr">
        <is>
          <t>How far is it in a straight line from Paris to Rome?</t>
        </is>
      </c>
      <c r="F536" s="42" t="n">
        <v>1110</v>
      </c>
      <c r="G536" s="33" t="inlineStr">
        <is>
          <t>km</t>
        </is>
      </c>
      <c r="H536" s="35" t="inlineStr">
        <is>
          <t>Easy</t>
        </is>
      </c>
      <c r="I536" s="33" t="inlineStr">
        <is>
          <t>Computed great-circle distance (city centre to city centre)</t>
        </is>
      </c>
      <c r="J536" s="35" t="n"/>
      <c r="K536" s="33" t="n"/>
      <c r="L536" s="35">
        <f>COUNTIFS($A$2:$A$1501,A536,$D$2:$D$1501,D536)</f>
        <v/>
      </c>
    </row>
    <row r="537">
      <c r="A537" s="35" t="n">
        <v>108</v>
      </c>
      <c r="B537" s="41" t="n">
        <v>46407</v>
      </c>
      <c r="C537" s="35" t="n">
        <v>1</v>
      </c>
      <c r="D537" s="33" t="inlineStr">
        <is>
          <t>Sports</t>
        </is>
      </c>
      <c r="E537" s="36" t="inlineStr">
        <is>
          <t>What is a perfect score in ten-pin bowling?</t>
        </is>
      </c>
      <c r="F537" s="42" t="n">
        <v>300</v>
      </c>
      <c r="G537" s="33" t="inlineStr">
        <is>
          <t>points</t>
        </is>
      </c>
      <c r="H537" s="35" t="inlineStr">
        <is>
          <t>Easy</t>
        </is>
      </c>
      <c r="I537" s="33" t="inlineStr">
        <is>
          <t>USBC</t>
        </is>
      </c>
      <c r="J537" s="35" t="n"/>
      <c r="K537" s="33" t="inlineStr">
        <is>
          <t>Added Oct 2026. Spot check before this day goes live.</t>
        </is>
      </c>
      <c r="L537" s="35">
        <f>COUNTIFS($A$2:$A$1501,A537,$D$2:$D$1501,D537)</f>
        <v/>
      </c>
    </row>
    <row r="538">
      <c r="A538" s="35" t="n">
        <v>108</v>
      </c>
      <c r="B538" s="41" t="n">
        <v>46407</v>
      </c>
      <c r="C538" s="35" t="n">
        <v>2</v>
      </c>
      <c r="D538" s="33" t="inlineStr">
        <is>
          <t>Space and Science</t>
        </is>
      </c>
      <c r="E538" s="36" t="inlineStr">
        <is>
          <t>How long is a day on Jupiter?</t>
        </is>
      </c>
      <c r="F538" s="42" t="n">
        <v>9.9</v>
      </c>
      <c r="G538" s="33" t="inlineStr">
        <is>
          <t>hours</t>
        </is>
      </c>
      <c r="H538" s="35" t="inlineStr">
        <is>
          <t>Medium</t>
        </is>
      </c>
      <c r="I538" s="33" t="inlineStr">
        <is>
          <t>NASA</t>
        </is>
      </c>
      <c r="J538" s="35" t="n"/>
      <c r="K538" s="33" t="inlineStr">
        <is>
          <t>Added Oct 2026. Spot check before this day goes live.</t>
        </is>
      </c>
      <c r="L538" s="35">
        <f>COUNTIFS($A$2:$A$1501,A538,$D$2:$D$1501,D538)</f>
        <v/>
      </c>
    </row>
    <row r="539">
      <c r="A539" s="35" t="n">
        <v>108</v>
      </c>
      <c r="B539" s="41" t="n">
        <v>46407</v>
      </c>
      <c r="C539" s="35" t="n">
        <v>3</v>
      </c>
      <c r="D539" s="33" t="inlineStr">
        <is>
          <t>Food and Everyday Life</t>
        </is>
      </c>
      <c r="E539" s="36" t="inlineStr">
        <is>
          <t>How many grams of salt a day is the most the WHO recommends?</t>
        </is>
      </c>
      <c r="F539" s="42" t="n">
        <v>5</v>
      </c>
      <c r="G539" s="33" t="inlineStr">
        <is>
          <t>grams</t>
        </is>
      </c>
      <c r="H539" s="35" t="inlineStr">
        <is>
          <t>Medium</t>
        </is>
      </c>
      <c r="I539" s="33" t="inlineStr">
        <is>
          <t>World Health Organization</t>
        </is>
      </c>
      <c r="J539" s="35" t="n"/>
      <c r="K539" s="33" t="inlineStr">
        <is>
          <t>Added Oct 2026. Spot check before this day goes live.</t>
        </is>
      </c>
      <c r="L539" s="35">
        <f>COUNTIFS($A$2:$A$1501,A539,$D$2:$D$1501,D539)</f>
        <v/>
      </c>
    </row>
    <row r="540">
      <c r="A540" s="35" t="n">
        <v>108</v>
      </c>
      <c r="B540" s="41" t="n">
        <v>46407</v>
      </c>
      <c r="C540" s="35" t="n">
        <v>4</v>
      </c>
      <c r="D540" s="33" t="inlineStr">
        <is>
          <t>Movies, Music and Games</t>
        </is>
      </c>
      <c r="E540" s="36" t="inlineStr">
        <is>
          <t>How many words are in Tolstoy's War and Peace?</t>
        </is>
      </c>
      <c r="F540" s="42" t="n">
        <v>587000</v>
      </c>
      <c r="G540" s="33" t="inlineStr">
        <is>
          <t>words</t>
        </is>
      </c>
      <c r="H540" s="35" t="inlineStr">
        <is>
          <t>Hard</t>
        </is>
      </c>
      <c r="I540" s="33" t="inlineStr">
        <is>
          <t>Britannica</t>
        </is>
      </c>
      <c r="J540" s="35" t="n"/>
      <c r="K540" s="33" t="inlineStr">
        <is>
          <t>Added Oct 2026. Spot check before this day goes live.</t>
        </is>
      </c>
      <c r="L540" s="35">
        <f>COUNTIFS($A$2:$A$1501,A540,$D$2:$D$1501,D540)</f>
        <v/>
      </c>
    </row>
    <row r="541">
      <c r="A541" s="35" t="n">
        <v>108</v>
      </c>
      <c r="B541" s="41" t="n">
        <v>46407</v>
      </c>
      <c r="C541" s="35" t="n">
        <v>5</v>
      </c>
      <c r="D541" s="33" t="inlineStr">
        <is>
          <t>Distance of the Day</t>
        </is>
      </c>
      <c r="E541" s="36" t="inlineStr">
        <is>
          <t>How far is it in a straight line from Cairo to Johannesburg?</t>
        </is>
      </c>
      <c r="F541" s="42" t="n">
        <v>6260</v>
      </c>
      <c r="G541" s="33" t="inlineStr">
        <is>
          <t>km</t>
        </is>
      </c>
      <c r="H541" s="35" t="inlineStr">
        <is>
          <t>Medium</t>
        </is>
      </c>
      <c r="I541" s="33" t="inlineStr">
        <is>
          <t>Computed great-circle distance (city centre to city centre)</t>
        </is>
      </c>
      <c r="J541" s="35" t="n"/>
      <c r="K541" s="33" t="n"/>
      <c r="L541" s="35">
        <f>COUNTIFS($A$2:$A$1501,A541,$D$2:$D$1501,D541)</f>
        <v/>
      </c>
    </row>
    <row r="542">
      <c r="A542" s="35" t="n">
        <v>109</v>
      </c>
      <c r="B542" s="41" t="n">
        <v>46408</v>
      </c>
      <c r="C542" s="35" t="n">
        <v>1</v>
      </c>
      <c r="D542" s="33" t="inlineStr">
        <is>
          <t>Canada</t>
        </is>
      </c>
      <c r="E542" s="36" t="inlineStr">
        <is>
          <t>How many days does the Calgary Stampede last?</t>
        </is>
      </c>
      <c r="F542" s="42" t="n">
        <v>10</v>
      </c>
      <c r="G542" s="33" t="inlineStr">
        <is>
          <t>days</t>
        </is>
      </c>
      <c r="H542" s="35" t="inlineStr">
        <is>
          <t>Easy</t>
        </is>
      </c>
      <c r="I542" s="33" t="inlineStr">
        <is>
          <t>Calgary Stampede</t>
        </is>
      </c>
      <c r="J542" s="35" t="n"/>
      <c r="K542" s="33" t="inlineStr">
        <is>
          <t>Added Oct 2026. Spot check before this day goes live.</t>
        </is>
      </c>
      <c r="L542" s="35">
        <f>COUNTIFS($A$2:$A$1501,A542,$D$2:$D$1501,D542)</f>
        <v/>
      </c>
    </row>
    <row r="543">
      <c r="A543" s="35" t="n">
        <v>109</v>
      </c>
      <c r="B543" s="41" t="n">
        <v>46408</v>
      </c>
      <c r="C543" s="35" t="n">
        <v>2</v>
      </c>
      <c r="D543" s="33" t="inlineStr">
        <is>
          <t>History</t>
        </is>
      </c>
      <c r="E543" s="36" t="inlineStr">
        <is>
          <t>How many years did it take to dig the Suez Canal?</t>
        </is>
      </c>
      <c r="F543" s="42" t="n">
        <v>10</v>
      </c>
      <c r="G543" s="33" t="inlineStr">
        <is>
          <t>years</t>
        </is>
      </c>
      <c r="H543" s="35" t="inlineStr">
        <is>
          <t>Medium</t>
        </is>
      </c>
      <c r="I543" s="33" t="inlineStr">
        <is>
          <t>Suez Canal Authority</t>
        </is>
      </c>
      <c r="J543" s="35" t="n"/>
      <c r="K543" s="33" t="inlineStr">
        <is>
          <t>Added Oct 2026. Spot check before this day goes live.</t>
        </is>
      </c>
      <c r="L543" s="35">
        <f>COUNTIFS($A$2:$A$1501,A543,$D$2:$D$1501,D543)</f>
        <v/>
      </c>
    </row>
    <row r="544">
      <c r="A544" s="35" t="n">
        <v>109</v>
      </c>
      <c r="B544" s="41" t="n">
        <v>46408</v>
      </c>
      <c r="C544" s="35" t="n">
        <v>3</v>
      </c>
      <c r="D544" s="33" t="inlineStr">
        <is>
          <t>Animals and Nature</t>
        </is>
      </c>
      <c r="E544" s="36" t="inlineStr">
        <is>
          <t>How long does a bowhead whale live, at most?</t>
        </is>
      </c>
      <c r="F544" s="42" t="n">
        <v>200</v>
      </c>
      <c r="G544" s="33" t="inlineStr">
        <is>
          <t>years</t>
        </is>
      </c>
      <c r="H544" s="35" t="inlineStr">
        <is>
          <t>Hard</t>
        </is>
      </c>
      <c r="I544" s="33" t="inlineStr">
        <is>
          <t>NOAA Fisheries</t>
        </is>
      </c>
      <c r="J544" s="35" t="n"/>
      <c r="K544" s="33" t="inlineStr">
        <is>
          <t>Added Oct 2026. Spot check before this day goes live.</t>
        </is>
      </c>
      <c r="L544" s="35">
        <f>COUNTIFS($A$2:$A$1501,A544,$D$2:$D$1501,D544)</f>
        <v/>
      </c>
    </row>
    <row r="545">
      <c r="A545" s="35" t="n">
        <v>109</v>
      </c>
      <c r="B545" s="41" t="n">
        <v>46408</v>
      </c>
      <c r="C545" s="35" t="n">
        <v>4</v>
      </c>
      <c r="D545" s="33" t="inlineStr">
        <is>
          <t>Buildings and Engineering</t>
        </is>
      </c>
      <c r="E545" s="36" t="inlineStr">
        <is>
          <t>How tall is the High Roller Ferris wheel in Las Vegas?</t>
        </is>
      </c>
      <c r="F545" s="42" t="n">
        <v>167</v>
      </c>
      <c r="G545" s="33" t="inlineStr">
        <is>
          <t>metres</t>
        </is>
      </c>
      <c r="H545" s="35" t="inlineStr">
        <is>
          <t>Hard</t>
        </is>
      </c>
      <c r="I545" s="33" t="inlineStr">
        <is>
          <t>Caesars Entertainment</t>
        </is>
      </c>
      <c r="J545" s="35" t="n"/>
      <c r="K545" s="33" t="inlineStr">
        <is>
          <t>Added Oct 2026. Spot check before this day goes live.</t>
        </is>
      </c>
      <c r="L545" s="35">
        <f>COUNTIFS($A$2:$A$1501,A545,$D$2:$D$1501,D545)</f>
        <v/>
      </c>
    </row>
    <row r="546">
      <c r="A546" s="35" t="n">
        <v>109</v>
      </c>
      <c r="B546" s="41" t="n">
        <v>46408</v>
      </c>
      <c r="C546" s="35" t="n">
        <v>5</v>
      </c>
      <c r="D546" s="33" t="inlineStr">
        <is>
          <t>Distance of the Day</t>
        </is>
      </c>
      <c r="E546" s="36" t="inlineStr">
        <is>
          <t>How far is it in a straight line from Calgary to Rio de Janeiro?</t>
        </is>
      </c>
      <c r="F546" s="42" t="n">
        <v>10730</v>
      </c>
      <c r="G546" s="33" t="inlineStr">
        <is>
          <t>km</t>
        </is>
      </c>
      <c r="H546" s="35" t="inlineStr">
        <is>
          <t>Hard</t>
        </is>
      </c>
      <c r="I546" s="33" t="inlineStr">
        <is>
          <t>Computed great-circle distance (city centre to city centre)</t>
        </is>
      </c>
      <c r="J546" s="35" t="n"/>
      <c r="K546" s="33" t="n"/>
      <c r="L546" s="35">
        <f>COUNTIFS($A$2:$A$1501,A546,$D$2:$D$1501,D546)</f>
        <v/>
      </c>
    </row>
    <row r="547">
      <c r="A547" s="35" t="n">
        <v>110</v>
      </c>
      <c r="B547" s="41" t="n">
        <v>46409</v>
      </c>
      <c r="C547" s="35" t="n">
        <v>1</v>
      </c>
      <c r="D547" s="33" t="inlineStr">
        <is>
          <t>Sports</t>
        </is>
      </c>
      <c r="E547" s="36" t="inlineStr">
        <is>
          <t>How many Olympic gold medals did Michael Phelps win at Beijing 2008?</t>
        </is>
      </c>
      <c r="F547" s="42" t="n">
        <v>8</v>
      </c>
      <c r="G547" s="33" t="inlineStr">
        <is>
          <t>gold medals</t>
        </is>
      </c>
      <c r="H547" s="35" t="inlineStr">
        <is>
          <t>Easy</t>
        </is>
      </c>
      <c r="I547" s="33" t="inlineStr">
        <is>
          <t>International Olympic Committee</t>
        </is>
      </c>
      <c r="J547" s="35" t="n"/>
      <c r="K547" s="33" t="inlineStr">
        <is>
          <t>Added Oct 2026. Spot check before this day goes live.</t>
        </is>
      </c>
      <c r="L547" s="35">
        <f>COUNTIFS($A$2:$A$1501,A547,$D$2:$D$1501,D547)</f>
        <v/>
      </c>
    </row>
    <row r="548">
      <c r="A548" s="35" t="n">
        <v>110</v>
      </c>
      <c r="B548" s="41" t="n">
        <v>46409</v>
      </c>
      <c r="C548" s="35" t="n">
        <v>2</v>
      </c>
      <c r="D548" s="33" t="inlineStr">
        <is>
          <t>Space and Science</t>
        </is>
      </c>
      <c r="E548" s="36" t="inlineStr">
        <is>
          <t>How thick is Earth's crust under the continents, on average?</t>
        </is>
      </c>
      <c r="F548" s="42" t="n">
        <v>35</v>
      </c>
      <c r="G548" s="33" t="inlineStr">
        <is>
          <t>km</t>
        </is>
      </c>
      <c r="H548" s="35" t="inlineStr">
        <is>
          <t>Medium</t>
        </is>
      </c>
      <c r="I548" s="33" t="inlineStr">
        <is>
          <t>USGS</t>
        </is>
      </c>
      <c r="J548" s="35" t="n"/>
      <c r="K548" s="33" t="inlineStr">
        <is>
          <t>Added Oct 2026. Spot check before this day goes live.</t>
        </is>
      </c>
      <c r="L548" s="35">
        <f>COUNTIFS($A$2:$A$1501,A548,$D$2:$D$1501,D548)</f>
        <v/>
      </c>
    </row>
    <row r="549">
      <c r="A549" s="35" t="n">
        <v>110</v>
      </c>
      <c r="B549" s="41" t="n">
        <v>46409</v>
      </c>
      <c r="C549" s="35" t="n">
        <v>3</v>
      </c>
      <c r="D549" s="33" t="inlineStr">
        <is>
          <t>Human Body</t>
        </is>
      </c>
      <c r="E549" s="36" t="inlineStr">
        <is>
          <t>How long is an average newborn baby?</t>
        </is>
      </c>
      <c r="F549" s="42" t="n">
        <v>50</v>
      </c>
      <c r="G549" s="33" t="inlineStr">
        <is>
          <t>cm</t>
        </is>
      </c>
      <c r="H549" s="35" t="inlineStr">
        <is>
          <t>Medium</t>
        </is>
      </c>
      <c r="I549" s="33" t="inlineStr">
        <is>
          <t>WHO growth standards</t>
        </is>
      </c>
      <c r="J549" s="35" t="n"/>
      <c r="K549" s="33" t="inlineStr">
        <is>
          <t>Added Oct 2026. Spot check before this day goes live.</t>
        </is>
      </c>
      <c r="L549" s="35">
        <f>COUNTIFS($A$2:$A$1501,A549,$D$2:$D$1501,D549)</f>
        <v/>
      </c>
    </row>
    <row r="550">
      <c r="A550" s="35" t="n">
        <v>110</v>
      </c>
      <c r="B550" s="41" t="n">
        <v>46409</v>
      </c>
      <c r="C550" s="35" t="n">
        <v>4</v>
      </c>
      <c r="D550" s="33" t="inlineStr">
        <is>
          <t>Movies, Music and Games</t>
        </is>
      </c>
      <c r="E550" s="36" t="inlineStr">
        <is>
          <t>How many episodes of M*A*S*H were made?</t>
        </is>
      </c>
      <c r="F550" s="42" t="n">
        <v>256</v>
      </c>
      <c r="G550" s="33" t="inlineStr">
        <is>
          <t>episodes</t>
        </is>
      </c>
      <c r="H550" s="35" t="inlineStr">
        <is>
          <t>Hard</t>
        </is>
      </c>
      <c r="I550" s="33" t="inlineStr">
        <is>
          <t>CBS</t>
        </is>
      </c>
      <c r="J550" s="35" t="n"/>
      <c r="K550" s="33" t="inlineStr">
        <is>
          <t>Added Oct 2026. Spot check before this day goes live.</t>
        </is>
      </c>
      <c r="L550" s="35">
        <f>COUNTIFS($A$2:$A$1501,A550,$D$2:$D$1501,D550)</f>
        <v/>
      </c>
    </row>
    <row r="551">
      <c r="A551" s="35" t="n">
        <v>110</v>
      </c>
      <c r="B551" s="41" t="n">
        <v>46409</v>
      </c>
      <c r="C551" s="35" t="n">
        <v>5</v>
      </c>
      <c r="D551" s="33" t="inlineStr">
        <is>
          <t>Distance of the Day</t>
        </is>
      </c>
      <c r="E551" s="36" t="inlineStr">
        <is>
          <t>How far is it in a straight line from St. John's to Istanbul?</t>
        </is>
      </c>
      <c r="F551" s="42" t="n">
        <v>6240</v>
      </c>
      <c r="G551" s="33" t="inlineStr">
        <is>
          <t>km</t>
        </is>
      </c>
      <c r="H551" s="35" t="inlineStr">
        <is>
          <t>Medium</t>
        </is>
      </c>
      <c r="I551" s="33" t="inlineStr">
        <is>
          <t>Computed great-circle distance (city centre to city centre)</t>
        </is>
      </c>
      <c r="J551" s="35" t="n"/>
      <c r="K551" s="33" t="n"/>
      <c r="L551" s="35">
        <f>COUNTIFS($A$2:$A$1501,A551,$D$2:$D$1501,D551)</f>
        <v/>
      </c>
    </row>
    <row r="552">
      <c r="A552" s="35" t="n">
        <v>111</v>
      </c>
      <c r="B552" s="41" t="n">
        <v>46410</v>
      </c>
      <c r="C552" s="35" t="n">
        <v>1</v>
      </c>
      <c r="D552" s="33" t="inlineStr">
        <is>
          <t>Canada</t>
        </is>
      </c>
      <c r="E552" s="36" t="inlineStr">
        <is>
          <t>How long is the Bruce Trail in Ontario?</t>
        </is>
      </c>
      <c r="F552" s="42" t="n">
        <v>900</v>
      </c>
      <c r="G552" s="33" t="inlineStr">
        <is>
          <t>km</t>
        </is>
      </c>
      <c r="H552" s="35" t="inlineStr">
        <is>
          <t>Medium</t>
        </is>
      </c>
      <c r="I552" s="33" t="inlineStr">
        <is>
          <t>Bruce Trail Conservancy</t>
        </is>
      </c>
      <c r="J552" s="35" t="n"/>
      <c r="K552" s="33" t="inlineStr">
        <is>
          <t>Added Oct 2026. Spot check before this day goes live.</t>
        </is>
      </c>
      <c r="L552" s="35">
        <f>COUNTIFS($A$2:$A$1501,A552,$D$2:$D$1501,D552)</f>
        <v/>
      </c>
    </row>
    <row r="553">
      <c r="A553" s="35" t="n">
        <v>111</v>
      </c>
      <c r="B553" s="41" t="n">
        <v>46410</v>
      </c>
      <c r="C553" s="35" t="n">
        <v>2</v>
      </c>
      <c r="D553" s="33" t="inlineStr">
        <is>
          <t>Food and Everyday Life</t>
        </is>
      </c>
      <c r="E553" s="36" t="inlineStr">
        <is>
          <t>How many litres are in a US gallon?</t>
        </is>
      </c>
      <c r="F553" s="42" t="n">
        <v>3.79</v>
      </c>
      <c r="G553" s="33" t="inlineStr">
        <is>
          <t>litres</t>
        </is>
      </c>
      <c r="H553" s="35" t="inlineStr">
        <is>
          <t>Medium</t>
        </is>
      </c>
      <c r="I553" s="33" t="inlineStr">
        <is>
          <t>NIST</t>
        </is>
      </c>
      <c r="J553" s="35" t="n"/>
      <c r="K553" s="33" t="inlineStr">
        <is>
          <t>Added Oct 2026. Spot check before this day goes live.</t>
        </is>
      </c>
      <c r="L553" s="35">
        <f>COUNTIFS($A$2:$A$1501,A553,$D$2:$D$1501,D553)</f>
        <v/>
      </c>
    </row>
    <row r="554">
      <c r="A554" s="35" t="n">
        <v>111</v>
      </c>
      <c r="B554" s="41" t="n">
        <v>46410</v>
      </c>
      <c r="C554" s="35" t="n">
        <v>3</v>
      </c>
      <c r="D554" s="33" t="inlineStr">
        <is>
          <t>Geography</t>
        </is>
      </c>
      <c r="E554" s="36" t="inlineStr">
        <is>
          <t>How long is the Indus River?</t>
        </is>
      </c>
      <c r="F554" s="42" t="n">
        <v>3180</v>
      </c>
      <c r="G554" s="33" t="inlineStr">
        <is>
          <t>km</t>
        </is>
      </c>
      <c r="H554" s="35" t="inlineStr">
        <is>
          <t>Hard</t>
        </is>
      </c>
      <c r="I554" s="33" t="inlineStr">
        <is>
          <t>Britannica</t>
        </is>
      </c>
      <c r="J554" s="35" t="n"/>
      <c r="K554" s="33" t="inlineStr">
        <is>
          <t>Added Oct 2026. Spot check before this day goes live.</t>
        </is>
      </c>
      <c r="L554" s="35">
        <f>COUNTIFS($A$2:$A$1501,A554,$D$2:$D$1501,D554)</f>
        <v/>
      </c>
    </row>
    <row r="555">
      <c r="A555" s="35" t="n">
        <v>111</v>
      </c>
      <c r="B555" s="41" t="n">
        <v>46410</v>
      </c>
      <c r="C555" s="35" t="n">
        <v>4</v>
      </c>
      <c r="D555" s="33" t="inlineStr">
        <is>
          <t>History</t>
        </is>
      </c>
      <c r="E555" s="36" t="inlineStr">
        <is>
          <t>How many British casualties were there on the first day of the Battle of the Somme?</t>
        </is>
      </c>
      <c r="F555" s="42" t="n">
        <v>57000</v>
      </c>
      <c r="G555" s="33" t="inlineStr">
        <is>
          <t>casualties</t>
        </is>
      </c>
      <c r="H555" s="35" t="inlineStr">
        <is>
          <t>Hard</t>
        </is>
      </c>
      <c r="I555" s="33" t="inlineStr">
        <is>
          <t>Imperial War Museums</t>
        </is>
      </c>
      <c r="J555" s="35" t="n"/>
      <c r="K555" s="33" t="inlineStr">
        <is>
          <t>Added Oct 2026. Spot check before this day goes live.</t>
        </is>
      </c>
      <c r="L555" s="35">
        <f>COUNTIFS($A$2:$A$1501,A555,$D$2:$D$1501,D555)</f>
        <v/>
      </c>
    </row>
    <row r="556">
      <c r="A556" s="35" t="n">
        <v>111</v>
      </c>
      <c r="B556" s="41" t="n">
        <v>46410</v>
      </c>
      <c r="C556" s="35" t="n">
        <v>5</v>
      </c>
      <c r="D556" s="33" t="inlineStr">
        <is>
          <t>Distance of the Day</t>
        </is>
      </c>
      <c r="E556" s="36" t="inlineStr">
        <is>
          <t>How far is it in a straight line from Amsterdam to Vienna?</t>
        </is>
      </c>
      <c r="F556" s="42" t="n">
        <v>940</v>
      </c>
      <c r="G556" s="33" t="inlineStr">
        <is>
          <t>km</t>
        </is>
      </c>
      <c r="H556" s="35" t="inlineStr">
        <is>
          <t>Easy</t>
        </is>
      </c>
      <c r="I556" s="33" t="inlineStr">
        <is>
          <t>Computed great-circle distance (city centre to city centre)</t>
        </is>
      </c>
      <c r="J556" s="35" t="n"/>
      <c r="K556" s="33" t="n"/>
      <c r="L556" s="35">
        <f>COUNTIFS($A$2:$A$1501,A556,$D$2:$D$1501,D556)</f>
        <v/>
      </c>
    </row>
    <row r="557">
      <c r="A557" s="35" t="n">
        <v>112</v>
      </c>
      <c r="B557" s="41" t="n">
        <v>46411</v>
      </c>
      <c r="C557" s="35" t="n">
        <v>1</v>
      </c>
      <c r="D557" s="33" t="inlineStr">
        <is>
          <t>Sports</t>
        </is>
      </c>
      <c r="E557" s="36" t="inlineStr">
        <is>
          <t>How high is a regulation basketball hoop?</t>
        </is>
      </c>
      <c r="F557" s="42" t="n">
        <v>10</v>
      </c>
      <c r="G557" s="33" t="inlineStr">
        <is>
          <t>feet</t>
        </is>
      </c>
      <c r="H557" s="35" t="inlineStr">
        <is>
          <t>Easy</t>
        </is>
      </c>
      <c r="I557" s="33" t="inlineStr">
        <is>
          <t>NBA rulebook</t>
        </is>
      </c>
      <c r="J557" s="35" t="n"/>
      <c r="K557" s="33" t="inlineStr">
        <is>
          <t>Added Oct 2026. Spot check before this day goes live.</t>
        </is>
      </c>
      <c r="L557" s="35">
        <f>COUNTIFS($A$2:$A$1501,A557,$D$2:$D$1501,D557)</f>
        <v/>
      </c>
    </row>
    <row r="558">
      <c r="A558" s="35" t="n">
        <v>112</v>
      </c>
      <c r="B558" s="41" t="n">
        <v>46411</v>
      </c>
      <c r="C558" s="35" t="n">
        <v>2</v>
      </c>
      <c r="D558" s="33" t="inlineStr">
        <is>
          <t>Space and Science</t>
        </is>
      </c>
      <c r="E558" s="36" t="inlineStr">
        <is>
          <t>How high do passenger jets usually cruise?</t>
        </is>
      </c>
      <c r="F558" s="42" t="n">
        <v>35000</v>
      </c>
      <c r="G558" s="33" t="inlineStr">
        <is>
          <t>feet</t>
        </is>
      </c>
      <c r="H558" s="35" t="inlineStr">
        <is>
          <t>Medium</t>
        </is>
      </c>
      <c r="I558" s="33" t="inlineStr">
        <is>
          <t>FAA</t>
        </is>
      </c>
      <c r="J558" s="35" t="n"/>
      <c r="K558" s="33" t="inlineStr">
        <is>
          <t>Added Oct 2026. Spot check before this day goes live.</t>
        </is>
      </c>
      <c r="L558" s="35">
        <f>COUNTIFS($A$2:$A$1501,A558,$D$2:$D$1501,D558)</f>
        <v/>
      </c>
    </row>
    <row r="559">
      <c r="A559" s="35" t="n">
        <v>112</v>
      </c>
      <c r="B559" s="41" t="n">
        <v>46411</v>
      </c>
      <c r="C559" s="35" t="n">
        <v>3</v>
      </c>
      <c r="D559" s="33" t="inlineStr">
        <is>
          <t>Animals and Nature</t>
        </is>
      </c>
      <c r="E559" s="36" t="inlineStr">
        <is>
          <t>How many teeth does an adult cat have?</t>
        </is>
      </c>
      <c r="F559" s="42" t="n">
        <v>30</v>
      </c>
      <c r="G559" s="33" t="inlineStr">
        <is>
          <t>teeth</t>
        </is>
      </c>
      <c r="H559" s="35" t="inlineStr">
        <is>
          <t>Medium</t>
        </is>
      </c>
      <c r="I559" s="33" t="inlineStr">
        <is>
          <t>Cornell Feline Health Center</t>
        </is>
      </c>
      <c r="J559" s="35" t="n"/>
      <c r="K559" s="33" t="inlineStr">
        <is>
          <t>Added Oct 2026. Spot check before this day goes live.</t>
        </is>
      </c>
      <c r="L559" s="35">
        <f>COUNTIFS($A$2:$A$1501,A559,$D$2:$D$1501,D559)</f>
        <v/>
      </c>
    </row>
    <row r="560">
      <c r="A560" s="35" t="n">
        <v>112</v>
      </c>
      <c r="B560" s="41" t="n">
        <v>46411</v>
      </c>
      <c r="C560" s="35" t="n">
        <v>4</v>
      </c>
      <c r="D560" s="33" t="inlineStr">
        <is>
          <t>Movies, Music and Games</t>
        </is>
      </c>
      <c r="E560" s="36" t="inlineStr">
        <is>
          <t>How many houses come in a Monopoly set?</t>
        </is>
      </c>
      <c r="F560" s="42" t="n">
        <v>32</v>
      </c>
      <c r="G560" s="33" t="inlineStr">
        <is>
          <t>houses</t>
        </is>
      </c>
      <c r="H560" s="35" t="inlineStr">
        <is>
          <t>Hard</t>
        </is>
      </c>
      <c r="I560" s="33" t="inlineStr">
        <is>
          <t>Hasbro</t>
        </is>
      </c>
      <c r="J560" s="35" t="n"/>
      <c r="K560" s="33" t="inlineStr">
        <is>
          <t>Added Oct 2026. Spot check before this day goes live.</t>
        </is>
      </c>
      <c r="L560" s="35">
        <f>COUNTIFS($A$2:$A$1501,A560,$D$2:$D$1501,D560)</f>
        <v/>
      </c>
    </row>
    <row r="561">
      <c r="A561" s="35" t="n">
        <v>112</v>
      </c>
      <c r="B561" s="41" t="n">
        <v>46411</v>
      </c>
      <c r="C561" s="35" t="n">
        <v>5</v>
      </c>
      <c r="D561" s="33" t="inlineStr">
        <is>
          <t>Distance of the Day</t>
        </is>
      </c>
      <c r="E561" s="36" t="inlineStr">
        <is>
          <t>How far is it in a straight line from Tehran to Colombo?</t>
        </is>
      </c>
      <c r="F561" s="42" t="n">
        <v>4320</v>
      </c>
      <c r="G561" s="33" t="inlineStr">
        <is>
          <t>km</t>
        </is>
      </c>
      <c r="H561" s="35" t="inlineStr">
        <is>
          <t>Medium</t>
        </is>
      </c>
      <c r="I561" s="33" t="inlineStr">
        <is>
          <t>Computed great-circle distance (city centre to city centre)</t>
        </is>
      </c>
      <c r="J561" s="35" t="n"/>
      <c r="K561" s="33" t="n"/>
      <c r="L561" s="35">
        <f>COUNTIFS($A$2:$A$1501,A561,$D$2:$D$1501,D561)</f>
        <v/>
      </c>
    </row>
    <row r="562">
      <c r="A562" s="35" t="n">
        <v>113</v>
      </c>
      <c r="B562" s="41" t="n">
        <v>46412</v>
      </c>
      <c r="C562" s="35" t="n">
        <v>1</v>
      </c>
      <c r="D562" s="33" t="inlineStr">
        <is>
          <t>Food and Everyday Life</t>
        </is>
      </c>
      <c r="E562" s="36" t="inlineStr">
        <is>
          <t>How wide is a sheet of US letter paper?</t>
        </is>
      </c>
      <c r="F562" s="42" t="n">
        <v>8.5</v>
      </c>
      <c r="G562" s="33" t="inlineStr">
        <is>
          <t>inches</t>
        </is>
      </c>
      <c r="H562" s="35" t="inlineStr">
        <is>
          <t>Easy</t>
        </is>
      </c>
      <c r="I562" s="33" t="inlineStr">
        <is>
          <t>ANSI</t>
        </is>
      </c>
      <c r="J562" s="35" t="n"/>
      <c r="K562" s="33" t="inlineStr">
        <is>
          <t>Added Oct 2026. Spot check before this day goes live.</t>
        </is>
      </c>
      <c r="L562" s="35">
        <f>COUNTIFS($A$2:$A$1501,A562,$D$2:$D$1501,D562)</f>
        <v/>
      </c>
    </row>
    <row r="563">
      <c r="A563" s="35" t="n">
        <v>113</v>
      </c>
      <c r="B563" s="41" t="n">
        <v>46412</v>
      </c>
      <c r="C563" s="35" t="n">
        <v>2</v>
      </c>
      <c r="D563" s="33" t="inlineStr">
        <is>
          <t>Buildings and Engineering</t>
        </is>
      </c>
      <c r="E563" s="36" t="inlineStr">
        <is>
          <t>How fast did Japan's SCMaglev train go in its world speed record run?</t>
        </is>
      </c>
      <c r="F563" s="42" t="n">
        <v>603</v>
      </c>
      <c r="G563" s="33" t="inlineStr">
        <is>
          <t>km/h</t>
        </is>
      </c>
      <c r="H563" s="35" t="inlineStr">
        <is>
          <t>Medium</t>
        </is>
      </c>
      <c r="I563" s="33" t="inlineStr">
        <is>
          <t>Guinness World Records</t>
        </is>
      </c>
      <c r="J563" s="35" t="n"/>
      <c r="K563" s="33" t="inlineStr">
        <is>
          <t>Added Oct 2026. Spot check before this day goes live.</t>
        </is>
      </c>
      <c r="L563" s="35">
        <f>COUNTIFS($A$2:$A$1501,A563,$D$2:$D$1501,D563)</f>
        <v/>
      </c>
    </row>
    <row r="564">
      <c r="A564" s="35" t="n">
        <v>113</v>
      </c>
      <c r="B564" s="41" t="n">
        <v>46412</v>
      </c>
      <c r="C564" s="35" t="n">
        <v>3</v>
      </c>
      <c r="D564" s="33" t="inlineStr">
        <is>
          <t>Human Body</t>
        </is>
      </c>
      <c r="E564" s="36" t="inlineStr">
        <is>
          <t>How many synapses are in the human brain?</t>
        </is>
      </c>
      <c r="F564" s="42" t="n">
        <v>100</v>
      </c>
      <c r="G564" s="33" t="inlineStr">
        <is>
          <t>trillion</t>
        </is>
      </c>
      <c r="H564" s="35" t="inlineStr">
        <is>
          <t>Hard</t>
        </is>
      </c>
      <c r="I564" s="33" t="inlineStr">
        <is>
          <t>NIH</t>
        </is>
      </c>
      <c r="J564" s="35" t="n"/>
      <c r="K564" s="33" t="inlineStr">
        <is>
          <t>Added Oct 2026. Spot check before this day goes live.</t>
        </is>
      </c>
      <c r="L564" s="35">
        <f>COUNTIFS($A$2:$A$1501,A564,$D$2:$D$1501,D564)</f>
        <v/>
      </c>
    </row>
    <row r="565">
      <c r="A565" s="35" t="n">
        <v>113</v>
      </c>
      <c r="B565" s="41" t="n">
        <v>46412</v>
      </c>
      <c r="C565" s="35" t="n">
        <v>4</v>
      </c>
      <c r="D565" s="33" t="inlineStr">
        <is>
          <t>Geography</t>
        </is>
      </c>
      <c r="E565" s="36" t="inlineStr">
        <is>
          <t>How big is the Amazon rainforest?</t>
        </is>
      </c>
      <c r="F565" s="42" t="n">
        <v>5500000</v>
      </c>
      <c r="G565" s="33" t="inlineStr">
        <is>
          <t>km²</t>
        </is>
      </c>
      <c r="H565" s="35" t="inlineStr">
        <is>
          <t>Hard</t>
        </is>
      </c>
      <c r="I565" s="33" t="inlineStr">
        <is>
          <t>WWF</t>
        </is>
      </c>
      <c r="J565" s="35" t="n"/>
      <c r="K565" s="33" t="inlineStr">
        <is>
          <t>Added Oct 2026. Spot check before this day goes live.</t>
        </is>
      </c>
      <c r="L565" s="35">
        <f>COUNTIFS($A$2:$A$1501,A565,$D$2:$D$1501,D565)</f>
        <v/>
      </c>
    </row>
    <row r="566">
      <c r="A566" s="35" t="n">
        <v>113</v>
      </c>
      <c r="B566" s="41" t="n">
        <v>46412</v>
      </c>
      <c r="C566" s="35" t="n">
        <v>5</v>
      </c>
      <c r="D566" s="33" t="inlineStr">
        <is>
          <t>Distance of the Day</t>
        </is>
      </c>
      <c r="E566" s="36" t="inlineStr">
        <is>
          <t>How far is it in a straight line from Iqaluit to Kathmandu?</t>
        </is>
      </c>
      <c r="F566" s="42" t="n">
        <v>9590</v>
      </c>
      <c r="G566" s="33" t="inlineStr">
        <is>
          <t>km</t>
        </is>
      </c>
      <c r="H566" s="35" t="inlineStr">
        <is>
          <t>Hard</t>
        </is>
      </c>
      <c r="I566" s="33" t="inlineStr">
        <is>
          <t>Computed great-circle distance (city centre to city centre)</t>
        </is>
      </c>
      <c r="J566" s="35" t="n"/>
      <c r="K566" s="33" t="n"/>
      <c r="L566" s="35">
        <f>COUNTIFS($A$2:$A$1501,A566,$D$2:$D$1501,D566)</f>
        <v/>
      </c>
    </row>
    <row r="567">
      <c r="A567" s="35" t="n">
        <v>114</v>
      </c>
      <c r="B567" s="41" t="n">
        <v>46413</v>
      </c>
      <c r="C567" s="35" t="n">
        <v>1</v>
      </c>
      <c r="D567" s="33" t="inlineStr">
        <is>
          <t>Sports</t>
        </is>
      </c>
      <c r="E567" s="36" t="inlineStr">
        <is>
          <t>How many laps is the Indianapolis 500?</t>
        </is>
      </c>
      <c r="F567" s="42" t="n">
        <v>200</v>
      </c>
      <c r="G567" s="33" t="inlineStr">
        <is>
          <t>laps</t>
        </is>
      </c>
      <c r="H567" s="35" t="inlineStr">
        <is>
          <t>Medium</t>
        </is>
      </c>
      <c r="I567" s="33" t="inlineStr">
        <is>
          <t>Indianapolis Motor Speedway</t>
        </is>
      </c>
      <c r="J567" s="35" t="n"/>
      <c r="K567" s="33" t="inlineStr">
        <is>
          <t>Added Oct 2026. Spot check before this day goes live.</t>
        </is>
      </c>
      <c r="L567" s="35">
        <f>COUNTIFS($A$2:$A$1501,A567,$D$2:$D$1501,D567)</f>
        <v/>
      </c>
    </row>
    <row r="568">
      <c r="A568" s="35" t="n">
        <v>114</v>
      </c>
      <c r="B568" s="41" t="n">
        <v>46413</v>
      </c>
      <c r="C568" s="35" t="n">
        <v>2</v>
      </c>
      <c r="D568" s="33" t="inlineStr">
        <is>
          <t>Space and Science</t>
        </is>
      </c>
      <c r="E568" s="36" t="inlineStr">
        <is>
          <t>How many metres are in a mile?</t>
        </is>
      </c>
      <c r="F568" s="42" t="n">
        <v>1609</v>
      </c>
      <c r="G568" s="33" t="inlineStr">
        <is>
          <t>metres</t>
        </is>
      </c>
      <c r="H568" s="35" t="inlineStr">
        <is>
          <t>Medium</t>
        </is>
      </c>
      <c r="I568" s="33" t="inlineStr">
        <is>
          <t>NIST</t>
        </is>
      </c>
      <c r="J568" s="35" t="n"/>
      <c r="K568" s="33" t="inlineStr">
        <is>
          <t>Added Oct 2026. Spot check before this day goes live.</t>
        </is>
      </c>
      <c r="L568" s="35">
        <f>COUNTIFS($A$2:$A$1501,A568,$D$2:$D$1501,D568)</f>
        <v/>
      </c>
    </row>
    <row r="569">
      <c r="A569" s="35" t="n">
        <v>114</v>
      </c>
      <c r="B569" s="41" t="n">
        <v>46413</v>
      </c>
      <c r="C569" s="35" t="n">
        <v>3</v>
      </c>
      <c r="D569" s="33" t="inlineStr">
        <is>
          <t>Canada</t>
        </is>
      </c>
      <c r="E569" s="36" t="inlineStr">
        <is>
          <t>How tall is the Peace Tower on Parliament Hill?</t>
        </is>
      </c>
      <c r="F569" s="42" t="n">
        <v>92</v>
      </c>
      <c r="G569" s="33" t="inlineStr">
        <is>
          <t>metres</t>
        </is>
      </c>
      <c r="H569" s="35" t="inlineStr">
        <is>
          <t>Hard</t>
        </is>
      </c>
      <c r="I569" s="33" t="inlineStr">
        <is>
          <t>Parliament of Canada</t>
        </is>
      </c>
      <c r="J569" s="35" t="n"/>
      <c r="K569" s="33" t="inlineStr">
        <is>
          <t>Added Oct 2026. Spot check before this day goes live.</t>
        </is>
      </c>
      <c r="L569" s="35">
        <f>COUNTIFS($A$2:$A$1501,A569,$D$2:$D$1501,D569)</f>
        <v/>
      </c>
    </row>
    <row r="570">
      <c r="A570" s="35" t="n">
        <v>114</v>
      </c>
      <c r="B570" s="41" t="n">
        <v>46413</v>
      </c>
      <c r="C570" s="35" t="n">
        <v>4</v>
      </c>
      <c r="D570" s="33" t="inlineStr">
        <is>
          <t>Animals and Nature</t>
        </is>
      </c>
      <c r="E570" s="36" t="inlineStr">
        <is>
          <t>How many species of snakes are there?</t>
        </is>
      </c>
      <c r="F570" s="42" t="n">
        <v>4000</v>
      </c>
      <c r="G570" s="33" t="inlineStr">
        <is>
          <t>species</t>
        </is>
      </c>
      <c r="H570" s="35" t="inlineStr">
        <is>
          <t>Hard</t>
        </is>
      </c>
      <c r="I570" s="33" t="inlineStr">
        <is>
          <t>The Reptile Database</t>
        </is>
      </c>
      <c r="J570" s="35" t="n"/>
      <c r="K570" s="33" t="inlineStr">
        <is>
          <t>Added Oct 2026. Spot check before this day goes live.</t>
        </is>
      </c>
      <c r="L570" s="35">
        <f>COUNTIFS($A$2:$A$1501,A570,$D$2:$D$1501,D570)</f>
        <v/>
      </c>
    </row>
    <row r="571">
      <c r="A571" s="35" t="n">
        <v>114</v>
      </c>
      <c r="B571" s="41" t="n">
        <v>46413</v>
      </c>
      <c r="C571" s="35" t="n">
        <v>5</v>
      </c>
      <c r="D571" s="33" t="inlineStr">
        <is>
          <t>Distance of the Day</t>
        </is>
      </c>
      <c r="E571" s="36" t="inlineStr">
        <is>
          <t>How far is it in a straight line from Thunder Bay to London?</t>
        </is>
      </c>
      <c r="F571" s="42" t="n">
        <v>5980</v>
      </c>
      <c r="G571" s="33" t="inlineStr">
        <is>
          <t>km</t>
        </is>
      </c>
      <c r="H571" s="35" t="inlineStr">
        <is>
          <t>Medium</t>
        </is>
      </c>
      <c r="I571" s="33" t="inlineStr">
        <is>
          <t>Computed great-circle distance (city centre to city centre)</t>
        </is>
      </c>
      <c r="J571" s="35" t="n"/>
      <c r="K571" s="33" t="n"/>
      <c r="L571" s="35">
        <f>COUNTIFS($A$2:$A$1501,A571,$D$2:$D$1501,D571)</f>
        <v/>
      </c>
    </row>
    <row r="572">
      <c r="A572" s="35" t="n">
        <v>115</v>
      </c>
      <c r="B572" s="41" t="n">
        <v>46414</v>
      </c>
      <c r="C572" s="35" t="n">
        <v>1</v>
      </c>
      <c r="D572" s="33" t="inlineStr">
        <is>
          <t>History</t>
        </is>
      </c>
      <c r="E572" s="36" t="inlineStr">
        <is>
          <t>How many original colonies became the first United States?</t>
        </is>
      </c>
      <c r="F572" s="42" t="n">
        <v>13</v>
      </c>
      <c r="G572" s="33" t="inlineStr">
        <is>
          <t>colonies</t>
        </is>
      </c>
      <c r="H572" s="35" t="inlineStr">
        <is>
          <t>Easy</t>
        </is>
      </c>
      <c r="I572" s="33" t="inlineStr">
        <is>
          <t>US National Archives</t>
        </is>
      </c>
      <c r="J572" s="35" t="n"/>
      <c r="K572" s="33" t="inlineStr">
        <is>
          <t>Added Oct 2026. Spot check before this day goes live.</t>
        </is>
      </c>
      <c r="L572" s="35">
        <f>COUNTIFS($A$2:$A$1501,A572,$D$2:$D$1501,D572)</f>
        <v/>
      </c>
    </row>
    <row r="573">
      <c r="A573" s="35" t="n">
        <v>115</v>
      </c>
      <c r="B573" s="41" t="n">
        <v>46414</v>
      </c>
      <c r="C573" s="35" t="n">
        <v>2</v>
      </c>
      <c r="D573" s="33" t="inlineStr">
        <is>
          <t>Human Body</t>
        </is>
      </c>
      <c r="E573" s="36" t="inlineStr">
        <is>
          <t>How many pairs of cranial nerves do humans have?</t>
        </is>
      </c>
      <c r="F573" s="42" t="n">
        <v>12</v>
      </c>
      <c r="G573" s="33" t="inlineStr">
        <is>
          <t>pairs</t>
        </is>
      </c>
      <c r="H573" s="35" t="inlineStr">
        <is>
          <t>Medium</t>
        </is>
      </c>
      <c r="I573" s="33" t="inlineStr">
        <is>
          <t>Britannica</t>
        </is>
      </c>
      <c r="J573" s="35" t="n"/>
      <c r="K573" s="33" t="inlineStr">
        <is>
          <t>Added Oct 2026. Spot check before this day goes live.</t>
        </is>
      </c>
      <c r="L573" s="35">
        <f>COUNTIFS($A$2:$A$1501,A573,$D$2:$D$1501,D573)</f>
        <v/>
      </c>
    </row>
    <row r="574">
      <c r="A574" s="35" t="n">
        <v>115</v>
      </c>
      <c r="B574" s="41" t="n">
        <v>46414</v>
      </c>
      <c r="C574" s="35" t="n">
        <v>3</v>
      </c>
      <c r="D574" s="33" t="inlineStr">
        <is>
          <t>Food and Everyday Life</t>
        </is>
      </c>
      <c r="E574" s="36" t="inlineStr">
        <is>
          <t>How many calories are in a medium apple?</t>
        </is>
      </c>
      <c r="F574" s="42" t="n">
        <v>95</v>
      </c>
      <c r="G574" s="33" t="inlineStr">
        <is>
          <t>calories</t>
        </is>
      </c>
      <c r="H574" s="35" t="inlineStr">
        <is>
          <t>Medium</t>
        </is>
      </c>
      <c r="I574" s="33" t="inlineStr">
        <is>
          <t>USDA FoodData Central</t>
        </is>
      </c>
      <c r="J574" s="35" t="n"/>
      <c r="K574" s="33" t="inlineStr">
        <is>
          <t>Added Oct 2026. Spot check before this day goes live.</t>
        </is>
      </c>
      <c r="L574" s="35">
        <f>COUNTIFS($A$2:$A$1501,A574,$D$2:$D$1501,D574)</f>
        <v/>
      </c>
    </row>
    <row r="575">
      <c r="A575" s="35" t="n">
        <v>115</v>
      </c>
      <c r="B575" s="41" t="n">
        <v>46414</v>
      </c>
      <c r="C575" s="35" t="n">
        <v>4</v>
      </c>
      <c r="D575" s="33" t="inlineStr">
        <is>
          <t>Geography</t>
        </is>
      </c>
      <c r="E575" s="36" t="inlineStr">
        <is>
          <t>How deep is Lake Tahoe?</t>
        </is>
      </c>
      <c r="F575" s="42" t="n">
        <v>501</v>
      </c>
      <c r="G575" s="33" t="inlineStr">
        <is>
          <t>metres</t>
        </is>
      </c>
      <c r="H575" s="35" t="inlineStr">
        <is>
          <t>Hard</t>
        </is>
      </c>
      <c r="I575" s="33" t="inlineStr">
        <is>
          <t>US Geological Survey</t>
        </is>
      </c>
      <c r="J575" s="35" t="n"/>
      <c r="K575" s="33" t="inlineStr">
        <is>
          <t>Added Oct 2026. Spot check before this day goes live.</t>
        </is>
      </c>
      <c r="L575" s="35">
        <f>COUNTIFS($A$2:$A$1501,A575,$D$2:$D$1501,D575)</f>
        <v/>
      </c>
    </row>
    <row r="576">
      <c r="A576" s="35" t="n">
        <v>115</v>
      </c>
      <c r="B576" s="41" t="n">
        <v>46414</v>
      </c>
      <c r="C576" s="35" t="n">
        <v>5</v>
      </c>
      <c r="D576" s="33" t="inlineStr">
        <is>
          <t>Distance of the Day</t>
        </is>
      </c>
      <c r="E576" s="36" t="inlineStr">
        <is>
          <t>How far is it in a straight line from Atlanta to Detroit?</t>
        </is>
      </c>
      <c r="F576" s="42" t="n">
        <v>960</v>
      </c>
      <c r="G576" s="33" t="inlineStr">
        <is>
          <t>km</t>
        </is>
      </c>
      <c r="H576" s="35" t="inlineStr">
        <is>
          <t>Easy</t>
        </is>
      </c>
      <c r="I576" s="33" t="inlineStr">
        <is>
          <t>Computed great-circle distance (city centre to city centre)</t>
        </is>
      </c>
      <c r="J576" s="35" t="n"/>
      <c r="K576" s="33" t="n"/>
      <c r="L576" s="35">
        <f>COUNTIFS($A$2:$A$1501,A576,$D$2:$D$1501,D576)</f>
        <v/>
      </c>
    </row>
    <row r="577">
      <c r="A577" s="35" t="n">
        <v>116</v>
      </c>
      <c r="B577" s="41" t="n">
        <v>46415</v>
      </c>
      <c r="C577" s="35" t="n">
        <v>1</v>
      </c>
      <c r="D577" s="33" t="inlineStr">
        <is>
          <t>Sports</t>
        </is>
      </c>
      <c r="E577" s="36" t="inlineStr">
        <is>
          <t>How many teams are in the NHL?</t>
        </is>
      </c>
      <c r="F577" s="42" t="n">
        <v>32</v>
      </c>
      <c r="G577" s="33" t="inlineStr">
        <is>
          <t>teams</t>
        </is>
      </c>
      <c r="H577" s="35" t="inlineStr">
        <is>
          <t>Easy</t>
        </is>
      </c>
      <c r="I577" s="33" t="inlineStr">
        <is>
          <t>NHL.com</t>
        </is>
      </c>
      <c r="J577" s="35" t="n"/>
      <c r="K577" s="33" t="inlineStr">
        <is>
          <t>Added Oct 2026. Spot check before this day goes live.</t>
        </is>
      </c>
      <c r="L577" s="35">
        <f>COUNTIFS($A$2:$A$1501,A577,$D$2:$D$1501,D577)</f>
        <v/>
      </c>
    </row>
    <row r="578">
      <c r="A578" s="35" t="n">
        <v>116</v>
      </c>
      <c r="B578" s="41" t="n">
        <v>46415</v>
      </c>
      <c r="C578" s="35" t="n">
        <v>2</v>
      </c>
      <c r="D578" s="33" t="inlineStr">
        <is>
          <t>Space and Science</t>
        </is>
      </c>
      <c r="E578" s="36" t="inlineStr">
        <is>
          <t>What is the atomic number of neon?</t>
        </is>
      </c>
      <c r="F578" s="42" t="n">
        <v>10</v>
      </c>
      <c r="G578" s="33" t="n"/>
      <c r="H578" s="35" t="inlineStr">
        <is>
          <t>Medium</t>
        </is>
      </c>
      <c r="I578" s="33" t="inlineStr">
        <is>
          <t>IUPAC periodic table</t>
        </is>
      </c>
      <c r="J578" s="35" t="n"/>
      <c r="K578" s="33" t="inlineStr">
        <is>
          <t>Added Oct 2026. Spot check before this day goes live.</t>
        </is>
      </c>
      <c r="L578" s="35">
        <f>COUNTIFS($A$2:$A$1501,A578,$D$2:$D$1501,D578)</f>
        <v/>
      </c>
    </row>
    <row r="579">
      <c r="A579" s="35" t="n">
        <v>116</v>
      </c>
      <c r="B579" s="41" t="n">
        <v>46415</v>
      </c>
      <c r="C579" s="35" t="n">
        <v>3</v>
      </c>
      <c r="D579" s="33" t="inlineStr">
        <is>
          <t>Canada</t>
        </is>
      </c>
      <c r="E579" s="36" t="inlineStr">
        <is>
          <t>How wide is a CFL field?</t>
        </is>
      </c>
      <c r="F579" s="42" t="n">
        <v>65</v>
      </c>
      <c r="G579" s="33" t="inlineStr">
        <is>
          <t>yards</t>
        </is>
      </c>
      <c r="H579" s="35" t="inlineStr">
        <is>
          <t>Hard</t>
        </is>
      </c>
      <c r="I579" s="33" t="inlineStr">
        <is>
          <t>CFL rulebook</t>
        </is>
      </c>
      <c r="J579" s="35" t="n"/>
      <c r="K579" s="33" t="inlineStr">
        <is>
          <t>Added Oct 2026. Spot check before this day goes live.</t>
        </is>
      </c>
      <c r="L579" s="35">
        <f>COUNTIFS($A$2:$A$1501,A579,$D$2:$D$1501,D579)</f>
        <v/>
      </c>
    </row>
    <row r="580">
      <c r="A580" s="35" t="n">
        <v>116</v>
      </c>
      <c r="B580" s="41" t="n">
        <v>46415</v>
      </c>
      <c r="C580" s="35" t="n">
        <v>4</v>
      </c>
      <c r="D580" s="33" t="inlineStr">
        <is>
          <t>Buildings and Engineering</t>
        </is>
      </c>
      <c r="E580" s="36" t="inlineStr">
        <is>
          <t>How tall is the Three Gorges Dam?</t>
        </is>
      </c>
      <c r="F580" s="42" t="n">
        <v>181</v>
      </c>
      <c r="G580" s="33" t="inlineStr">
        <is>
          <t>metres</t>
        </is>
      </c>
      <c r="H580" s="35" t="inlineStr">
        <is>
          <t>Hard</t>
        </is>
      </c>
      <c r="I580" s="33" t="inlineStr">
        <is>
          <t>China Three Gorges Corporation</t>
        </is>
      </c>
      <c r="J580" s="35" t="n"/>
      <c r="K580" s="33" t="inlineStr">
        <is>
          <t>Added Oct 2026. Spot check before this day goes live.</t>
        </is>
      </c>
      <c r="L580" s="35">
        <f>COUNTIFS($A$2:$A$1501,A580,$D$2:$D$1501,D580)</f>
        <v/>
      </c>
    </row>
    <row r="581">
      <c r="A581" s="35" t="n">
        <v>116</v>
      </c>
      <c r="B581" s="41" t="n">
        <v>46415</v>
      </c>
      <c r="C581" s="35" t="n">
        <v>5</v>
      </c>
      <c r="D581" s="33" t="inlineStr">
        <is>
          <t>Distance of the Day</t>
        </is>
      </c>
      <c r="E581" s="36" t="inlineStr">
        <is>
          <t>How far is it in a straight line from Kelowna to Honolulu?</t>
        </is>
      </c>
      <c r="F581" s="42" t="n">
        <v>4620</v>
      </c>
      <c r="G581" s="33" t="inlineStr">
        <is>
          <t>km</t>
        </is>
      </c>
      <c r="H581" s="35" t="inlineStr">
        <is>
          <t>Medium</t>
        </is>
      </c>
      <c r="I581" s="33" t="inlineStr">
        <is>
          <t>Computed great-circle distance (city centre to city centre)</t>
        </is>
      </c>
      <c r="J581" s="35" t="n"/>
      <c r="K581" s="33" t="n"/>
      <c r="L581" s="35">
        <f>COUNTIFS($A$2:$A$1501,A581,$D$2:$D$1501,D581)</f>
        <v/>
      </c>
    </row>
    <row r="582">
      <c r="A582" s="35" t="n">
        <v>117</v>
      </c>
      <c r="B582" s="41" t="n">
        <v>46416</v>
      </c>
      <c r="C582" s="35" t="n">
        <v>1</v>
      </c>
      <c r="D582" s="33" t="inlineStr">
        <is>
          <t>Movies, Music and Games</t>
        </is>
      </c>
      <c r="E582" s="36" t="inlineStr">
        <is>
          <t>How long is Barbie (2023)?</t>
        </is>
      </c>
      <c r="F582" s="42" t="n">
        <v>114</v>
      </c>
      <c r="G582" s="33" t="inlineStr">
        <is>
          <t>minutes</t>
        </is>
      </c>
      <c r="H582" s="35" t="inlineStr">
        <is>
          <t>Medium</t>
        </is>
      </c>
      <c r="I582" s="33" t="inlineStr">
        <is>
          <t>IMDb</t>
        </is>
      </c>
      <c r="J582" s="35" t="n"/>
      <c r="K582" s="33" t="inlineStr">
        <is>
          <t>Added Oct 2026. Spot check before this day goes live.</t>
        </is>
      </c>
      <c r="L582" s="35">
        <f>COUNTIFS($A$2:$A$1501,A582,$D$2:$D$1501,D582)</f>
        <v/>
      </c>
    </row>
    <row r="583">
      <c r="A583" s="35" t="n">
        <v>117</v>
      </c>
      <c r="B583" s="41" t="n">
        <v>46416</v>
      </c>
      <c r="C583" s="35" t="n">
        <v>2</v>
      </c>
      <c r="D583" s="33" t="inlineStr">
        <is>
          <t>Geography</t>
        </is>
      </c>
      <c r="E583" s="36" t="inlineStr">
        <is>
          <t>How big is Lake Michigan?</t>
        </is>
      </c>
      <c r="F583" s="42" t="n">
        <v>58000</v>
      </c>
      <c r="G583" s="33" t="inlineStr">
        <is>
          <t>km²</t>
        </is>
      </c>
      <c r="H583" s="35" t="inlineStr">
        <is>
          <t>Medium</t>
        </is>
      </c>
      <c r="I583" s="33" t="inlineStr">
        <is>
          <t>US EPA Great Lakes</t>
        </is>
      </c>
      <c r="J583" s="35" t="n"/>
      <c r="K583" s="33" t="inlineStr">
        <is>
          <t>Added Oct 2026. Spot check before this day goes live.</t>
        </is>
      </c>
      <c r="L583" s="35">
        <f>COUNTIFS($A$2:$A$1501,A583,$D$2:$D$1501,D583)</f>
        <v/>
      </c>
    </row>
    <row r="584">
      <c r="A584" s="35" t="n">
        <v>117</v>
      </c>
      <c r="B584" s="41" t="n">
        <v>46416</v>
      </c>
      <c r="C584" s="35" t="n">
        <v>3</v>
      </c>
      <c r="D584" s="33" t="inlineStr">
        <is>
          <t>History</t>
        </is>
      </c>
      <c r="E584" s="36" t="inlineStr">
        <is>
          <t>How many soldiers were evacuated from Dunkirk?</t>
        </is>
      </c>
      <c r="F584" s="42" t="n">
        <v>338000</v>
      </c>
      <c r="G584" s="33" t="inlineStr">
        <is>
          <t>soldiers</t>
        </is>
      </c>
      <c r="H584" s="35" t="inlineStr">
        <is>
          <t>Hard</t>
        </is>
      </c>
      <c r="I584" s="33" t="inlineStr">
        <is>
          <t>Imperial War Museums</t>
        </is>
      </c>
      <c r="J584" s="35" t="n"/>
      <c r="K584" s="33" t="inlineStr">
        <is>
          <t>Added Oct 2026. Spot check before this day goes live.</t>
        </is>
      </c>
      <c r="L584" s="35">
        <f>COUNTIFS($A$2:$A$1501,A584,$D$2:$D$1501,D584)</f>
        <v/>
      </c>
    </row>
    <row r="585">
      <c r="A585" s="35" t="n">
        <v>117</v>
      </c>
      <c r="B585" s="41" t="n">
        <v>46416</v>
      </c>
      <c r="C585" s="35" t="n">
        <v>4</v>
      </c>
      <c r="D585" s="33" t="inlineStr">
        <is>
          <t>Animals and Nature</t>
        </is>
      </c>
      <c r="E585" s="36" t="inlineStr">
        <is>
          <t>How much rain does Mawsynram, India, the wettest place on Earth, get in a year?</t>
        </is>
      </c>
      <c r="F585" s="42" t="n">
        <v>11872</v>
      </c>
      <c r="G585" s="33" t="inlineStr">
        <is>
          <t>mm</t>
        </is>
      </c>
      <c r="H585" s="35" t="inlineStr">
        <is>
          <t>Hard</t>
        </is>
      </c>
      <c r="I585" s="33" t="inlineStr">
        <is>
          <t>Guinness World Records</t>
        </is>
      </c>
      <c r="J585" s="35" t="n"/>
      <c r="K585" s="33" t="inlineStr">
        <is>
          <t>Added Oct 2026. Spot check before this day goes live.</t>
        </is>
      </c>
      <c r="L585" s="35">
        <f>COUNTIFS($A$2:$A$1501,A585,$D$2:$D$1501,D585)</f>
        <v/>
      </c>
    </row>
    <row r="586">
      <c r="A586" s="35" t="n">
        <v>117</v>
      </c>
      <c r="B586" s="41" t="n">
        <v>46416</v>
      </c>
      <c r="C586" s="35" t="n">
        <v>5</v>
      </c>
      <c r="D586" s="33" t="inlineStr">
        <is>
          <t>Distance of the Day</t>
        </is>
      </c>
      <c r="E586" s="36" t="inlineStr">
        <is>
          <t>How far is it in a straight line from Iqaluit to Kuala Lumpur?</t>
        </is>
      </c>
      <c r="F586" s="42" t="n">
        <v>12530</v>
      </c>
      <c r="G586" s="33" t="inlineStr">
        <is>
          <t>km</t>
        </is>
      </c>
      <c r="H586" s="35" t="inlineStr">
        <is>
          <t>Hard</t>
        </is>
      </c>
      <c r="I586" s="33" t="inlineStr">
        <is>
          <t>Computed great-circle distance (city centre to city centre)</t>
        </is>
      </c>
      <c r="J586" s="35" t="n"/>
      <c r="K586" s="33" t="n"/>
      <c r="L586" s="35">
        <f>COUNTIFS($A$2:$A$1501,A586,$D$2:$D$1501,D586)</f>
        <v/>
      </c>
    </row>
    <row r="587">
      <c r="A587" s="35" t="n">
        <v>118</v>
      </c>
      <c r="B587" s="41" t="n">
        <v>46417</v>
      </c>
      <c r="C587" s="35" t="n">
        <v>1</v>
      </c>
      <c r="D587" s="33" t="inlineStr">
        <is>
          <t>Sports</t>
        </is>
      </c>
      <c r="E587" s="36" t="inlineStr">
        <is>
          <t>How many holes are in a standard round of golf?</t>
        </is>
      </c>
      <c r="F587" s="42" t="n">
        <v>18</v>
      </c>
      <c r="G587" s="33" t="inlineStr">
        <is>
          <t>holes</t>
        </is>
      </c>
      <c r="H587" s="35" t="inlineStr">
        <is>
          <t>Easy</t>
        </is>
      </c>
      <c r="I587" s="33" t="inlineStr">
        <is>
          <t>R&amp;A / USGA</t>
        </is>
      </c>
      <c r="J587" s="35" t="n"/>
      <c r="K587" s="33" t="inlineStr">
        <is>
          <t>Added Oct 2026. Spot check before this day goes live.</t>
        </is>
      </c>
      <c r="L587" s="35">
        <f>COUNTIFS($A$2:$A$1501,A587,$D$2:$D$1501,D587)</f>
        <v/>
      </c>
    </row>
    <row r="588">
      <c r="A588" s="35" t="n">
        <v>118</v>
      </c>
      <c r="B588" s="41" t="n">
        <v>46417</v>
      </c>
      <c r="C588" s="35" t="n">
        <v>2</v>
      </c>
      <c r="D588" s="33" t="inlineStr">
        <is>
          <t>Space and Science</t>
        </is>
      </c>
      <c r="E588" s="36" t="inlineStr">
        <is>
          <t>How far from Earth does the James Webb Space Telescope orbit?</t>
        </is>
      </c>
      <c r="F588" s="42" t="n">
        <v>1.5</v>
      </c>
      <c r="G588" s="33" t="inlineStr">
        <is>
          <t>million km</t>
        </is>
      </c>
      <c r="H588" s="35" t="inlineStr">
        <is>
          <t>Medium</t>
        </is>
      </c>
      <c r="I588" s="33" t="inlineStr">
        <is>
          <t>NASA</t>
        </is>
      </c>
      <c r="J588" s="35" t="n"/>
      <c r="K588" s="33" t="inlineStr">
        <is>
          <t>Added Oct 2026. Spot check before this day goes live.</t>
        </is>
      </c>
      <c r="L588" s="35">
        <f>COUNTIFS($A$2:$A$1501,A588,$D$2:$D$1501,D588)</f>
        <v/>
      </c>
    </row>
    <row r="589">
      <c r="A589" s="35" t="n">
        <v>118</v>
      </c>
      <c r="B589" s="41" t="n">
        <v>46417</v>
      </c>
      <c r="C589" s="35" t="n">
        <v>3</v>
      </c>
      <c r="D589" s="33" t="inlineStr">
        <is>
          <t>Buildings and Engineering</t>
        </is>
      </c>
      <c r="E589" s="36" t="inlineStr">
        <is>
          <t>How tall is the Louvre Pyramid?</t>
        </is>
      </c>
      <c r="F589" s="42" t="n">
        <v>21.6</v>
      </c>
      <c r="G589" s="33" t="inlineStr">
        <is>
          <t>metres</t>
        </is>
      </c>
      <c r="H589" s="35" t="inlineStr">
        <is>
          <t>Medium</t>
        </is>
      </c>
      <c r="I589" s="33" t="inlineStr">
        <is>
          <t>Musée du Louvre</t>
        </is>
      </c>
      <c r="J589" s="35" t="n"/>
      <c r="K589" s="33" t="inlineStr">
        <is>
          <t>Added Oct 2026. Spot check before this day goes live.</t>
        </is>
      </c>
      <c r="L589" s="35">
        <f>COUNTIFS($A$2:$A$1501,A589,$D$2:$D$1501,D589)</f>
        <v/>
      </c>
    </row>
    <row r="590">
      <c r="A590" s="35" t="n">
        <v>118</v>
      </c>
      <c r="B590" s="41" t="n">
        <v>46417</v>
      </c>
      <c r="C590" s="35" t="n">
        <v>4</v>
      </c>
      <c r="D590" s="33" t="inlineStr">
        <is>
          <t>Human Body</t>
        </is>
      </c>
      <c r="E590" s="36" t="inlineStr">
        <is>
          <t>How many litres of urine does an adult make in a day?</t>
        </is>
      </c>
      <c r="F590" s="42" t="n">
        <v>1.5</v>
      </c>
      <c r="G590" s="33" t="inlineStr">
        <is>
          <t>litres</t>
        </is>
      </c>
      <c r="H590" s="35" t="inlineStr">
        <is>
          <t>Hard</t>
        </is>
      </c>
      <c r="I590" s="33" t="inlineStr">
        <is>
          <t>Cleveland Clinic</t>
        </is>
      </c>
      <c r="J590" s="35" t="n"/>
      <c r="K590" s="33" t="inlineStr">
        <is>
          <t>Added Oct 2026. Spot check before this day goes live.</t>
        </is>
      </c>
      <c r="L590" s="35">
        <f>COUNTIFS($A$2:$A$1501,A590,$D$2:$D$1501,D590)</f>
        <v/>
      </c>
    </row>
    <row r="591">
      <c r="A591" s="35" t="n">
        <v>118</v>
      </c>
      <c r="B591" s="41" t="n">
        <v>46417</v>
      </c>
      <c r="C591" s="35" t="n">
        <v>5</v>
      </c>
      <c r="D591" s="33" t="inlineStr">
        <is>
          <t>Distance of the Day</t>
        </is>
      </c>
      <c r="E591" s="36" t="inlineStr">
        <is>
          <t>How far is it in a straight line from Oslo to Zurich?</t>
        </is>
      </c>
      <c r="F591" s="42" t="n">
        <v>1400</v>
      </c>
      <c r="G591" s="33" t="inlineStr">
        <is>
          <t>km</t>
        </is>
      </c>
      <c r="H591" s="35" t="inlineStr">
        <is>
          <t>Easy</t>
        </is>
      </c>
      <c r="I591" s="33" t="inlineStr">
        <is>
          <t>Computed great-circle distance (city centre to city centre)</t>
        </is>
      </c>
      <c r="J591" s="35" t="n"/>
      <c r="K591" s="33" t="n"/>
      <c r="L591" s="35">
        <f>COUNTIFS($A$2:$A$1501,A591,$D$2:$D$1501,D591)</f>
        <v/>
      </c>
    </row>
    <row r="592">
      <c r="A592" s="35" t="n">
        <v>119</v>
      </c>
      <c r="B592" s="41" t="n">
        <v>46418</v>
      </c>
      <c r="C592" s="35" t="n">
        <v>1</v>
      </c>
      <c r="D592" s="33" t="inlineStr">
        <is>
          <t>Canada</t>
        </is>
      </c>
      <c r="E592" s="36" t="inlineStr">
        <is>
          <t>How many downs does a CFL team get to make 10 yards?</t>
        </is>
      </c>
      <c r="F592" s="42" t="n">
        <v>3</v>
      </c>
      <c r="G592" s="33" t="inlineStr">
        <is>
          <t>downs</t>
        </is>
      </c>
      <c r="H592" s="35" t="inlineStr">
        <is>
          <t>Easy</t>
        </is>
      </c>
      <c r="I592" s="33" t="inlineStr">
        <is>
          <t>CFL rulebook</t>
        </is>
      </c>
      <c r="J592" s="35" t="n"/>
      <c r="K592" s="33" t="inlineStr">
        <is>
          <t>Added Oct 2026. Spot check before this day goes live.</t>
        </is>
      </c>
      <c r="L592" s="35">
        <f>COUNTIFS($A$2:$A$1501,A592,$D$2:$D$1501,D592)</f>
        <v/>
      </c>
    </row>
    <row r="593">
      <c r="A593" s="35" t="n">
        <v>119</v>
      </c>
      <c r="B593" s="41" t="n">
        <v>46418</v>
      </c>
      <c r="C593" s="35" t="n">
        <v>2</v>
      </c>
      <c r="D593" s="33" t="inlineStr">
        <is>
          <t>Food and Everyday Life</t>
        </is>
      </c>
      <c r="E593" s="36" t="inlineStr">
        <is>
          <t>How many hours of daylight does Toronto get on the summer solstice, roughly?</t>
        </is>
      </c>
      <c r="F593" s="42" t="n">
        <v>15.4</v>
      </c>
      <c r="G593" s="33" t="inlineStr">
        <is>
          <t>hours</t>
        </is>
      </c>
      <c r="H593" s="35" t="inlineStr">
        <is>
          <t>Medium</t>
        </is>
      </c>
      <c r="I593" s="33" t="inlineStr">
        <is>
          <t>National Research Council Canada</t>
        </is>
      </c>
      <c r="J593" s="35" t="n"/>
      <c r="K593" s="33" t="inlineStr">
        <is>
          <t>Added Oct 2026. Spot check before this day goes live.</t>
        </is>
      </c>
      <c r="L593" s="35">
        <f>COUNTIFS($A$2:$A$1501,A593,$D$2:$D$1501,D593)</f>
        <v/>
      </c>
    </row>
    <row r="594">
      <c r="A594" s="35" t="n">
        <v>119</v>
      </c>
      <c r="B594" s="41" t="n">
        <v>46418</v>
      </c>
      <c r="C594" s="35" t="n">
        <v>3</v>
      </c>
      <c r="D594" s="33" t="inlineStr">
        <is>
          <t>Movies, Music and Games</t>
        </is>
      </c>
      <c r="E594" s="36" t="inlineStr">
        <is>
          <t>How many levels are in the original Super Mario Bros.?</t>
        </is>
      </c>
      <c r="F594" s="42" t="n">
        <v>32</v>
      </c>
      <c r="G594" s="33" t="inlineStr">
        <is>
          <t>levels</t>
        </is>
      </c>
      <c r="H594" s="35" t="inlineStr">
        <is>
          <t>Medium</t>
        </is>
      </c>
      <c r="I594" s="33" t="inlineStr">
        <is>
          <t>Nintendo</t>
        </is>
      </c>
      <c r="J594" s="35" t="n"/>
      <c r="K594" s="33" t="inlineStr">
        <is>
          <t>Added Oct 2026. Spot check before this day goes live.</t>
        </is>
      </c>
      <c r="L594" s="35">
        <f>COUNTIFS($A$2:$A$1501,A594,$D$2:$D$1501,D594)</f>
        <v/>
      </c>
    </row>
    <row r="595">
      <c r="A595" s="35" t="n">
        <v>119</v>
      </c>
      <c r="B595" s="41" t="n">
        <v>46418</v>
      </c>
      <c r="C595" s="35" t="n">
        <v>4</v>
      </c>
      <c r="D595" s="33" t="inlineStr">
        <is>
          <t>Animals and Nature</t>
        </is>
      </c>
      <c r="E595" s="36" t="inlineStr">
        <is>
          <t>How heavy is a fully grown saltwater crocodile male?</t>
        </is>
      </c>
      <c r="F595" s="42" t="n">
        <v>1000</v>
      </c>
      <c r="G595" s="33" t="inlineStr">
        <is>
          <t>kg</t>
        </is>
      </c>
      <c r="H595" s="35" t="inlineStr">
        <is>
          <t>Hard</t>
        </is>
      </c>
      <c r="I595" s="33" t="inlineStr">
        <is>
          <t>Australian Museum</t>
        </is>
      </c>
      <c r="J595" s="35" t="n"/>
      <c r="K595" s="33" t="inlineStr">
        <is>
          <t>Added Oct 2026. Spot check before this day goes live.</t>
        </is>
      </c>
      <c r="L595" s="35">
        <f>COUNTIFS($A$2:$A$1501,A595,$D$2:$D$1501,D595)</f>
        <v/>
      </c>
    </row>
    <row r="596">
      <c r="A596" s="35" t="n">
        <v>119</v>
      </c>
      <c r="B596" s="41" t="n">
        <v>46418</v>
      </c>
      <c r="C596" s="35" t="n">
        <v>5</v>
      </c>
      <c r="D596" s="33" t="inlineStr">
        <is>
          <t>Distance of the Day</t>
        </is>
      </c>
      <c r="E596" s="36" t="inlineStr">
        <is>
          <t>How far is it in a straight line from St. John's to Lima?</t>
        </is>
      </c>
      <c r="F596" s="42" t="n">
        <v>7050</v>
      </c>
      <c r="G596" s="33" t="inlineStr">
        <is>
          <t>km</t>
        </is>
      </c>
      <c r="H596" s="35" t="inlineStr">
        <is>
          <t>Medium</t>
        </is>
      </c>
      <c r="I596" s="33" t="inlineStr">
        <is>
          <t>Computed great-circle distance (city centre to city centre)</t>
        </is>
      </c>
      <c r="J596" s="35" t="n"/>
      <c r="K596" s="33" t="n"/>
      <c r="L596" s="35">
        <f>COUNTIFS($A$2:$A$1501,A596,$D$2:$D$1501,D596)</f>
        <v/>
      </c>
    </row>
    <row r="597">
      <c r="A597" s="35" t="n">
        <v>120</v>
      </c>
      <c r="B597" s="41" t="n">
        <v>46419</v>
      </c>
      <c r="C597" s="35" t="n">
        <v>1</v>
      </c>
      <c r="D597" s="33" t="inlineStr">
        <is>
          <t>Sports</t>
        </is>
      </c>
      <c r="E597" s="36" t="inlineStr">
        <is>
          <t>How many points do you need to win a game of table tennis?</t>
        </is>
      </c>
      <c r="F597" s="42" t="n">
        <v>11</v>
      </c>
      <c r="G597" s="33" t="inlineStr">
        <is>
          <t>points</t>
        </is>
      </c>
      <c r="H597" s="35" t="inlineStr">
        <is>
          <t>Medium</t>
        </is>
      </c>
      <c r="I597" s="33" t="inlineStr">
        <is>
          <t>ITTF</t>
        </is>
      </c>
      <c r="J597" s="35" t="n"/>
      <c r="K597" s="33" t="inlineStr">
        <is>
          <t>Added Oct 2026. Spot check before this day goes live.</t>
        </is>
      </c>
      <c r="L597" s="35">
        <f>COUNTIFS($A$2:$A$1501,A597,$D$2:$D$1501,D597)</f>
        <v/>
      </c>
    </row>
    <row r="598">
      <c r="A598" s="35" t="n">
        <v>120</v>
      </c>
      <c r="B598" s="41" t="n">
        <v>46419</v>
      </c>
      <c r="C598" s="35" t="n">
        <v>2</v>
      </c>
      <c r="D598" s="33" t="inlineStr">
        <is>
          <t>Space and Science</t>
        </is>
      </c>
      <c r="E598" s="36" t="inlineStr">
        <is>
          <t>How many Earth years does Saturn take to orbit the Sun?</t>
        </is>
      </c>
      <c r="F598" s="42" t="n">
        <v>29.5</v>
      </c>
      <c r="G598" s="33" t="inlineStr">
        <is>
          <t>years</t>
        </is>
      </c>
      <c r="H598" s="35" t="inlineStr">
        <is>
          <t>Medium</t>
        </is>
      </c>
      <c r="I598" s="33" t="inlineStr">
        <is>
          <t>NASA</t>
        </is>
      </c>
      <c r="J598" s="35" t="n"/>
      <c r="K598" s="33" t="inlineStr">
        <is>
          <t>Added Oct 2026. Spot check before this day goes live.</t>
        </is>
      </c>
      <c r="L598" s="35">
        <f>COUNTIFS($A$2:$A$1501,A598,$D$2:$D$1501,D598)</f>
        <v/>
      </c>
    </row>
    <row r="599">
      <c r="A599" s="35" t="n">
        <v>120</v>
      </c>
      <c r="B599" s="41" t="n">
        <v>46419</v>
      </c>
      <c r="C599" s="35" t="n">
        <v>3</v>
      </c>
      <c r="D599" s="33" t="inlineStr">
        <is>
          <t>Buildings and Engineering</t>
        </is>
      </c>
      <c r="E599" s="36" t="inlineStr">
        <is>
          <t>How long is the Danyang–Kunshan Grand Bridge, the world's longest bridge?</t>
        </is>
      </c>
      <c r="F599" s="42" t="n">
        <v>164</v>
      </c>
      <c r="G599" s="33" t="inlineStr">
        <is>
          <t>km</t>
        </is>
      </c>
      <c r="H599" s="35" t="inlineStr">
        <is>
          <t>Hard</t>
        </is>
      </c>
      <c r="I599" s="33" t="inlineStr">
        <is>
          <t>Guinness World Records</t>
        </is>
      </c>
      <c r="J599" s="35" t="n"/>
      <c r="K599" s="33" t="inlineStr">
        <is>
          <t>Added Oct 2026. Spot check before this day goes live.</t>
        </is>
      </c>
      <c r="L599" s="35">
        <f>COUNTIFS($A$2:$A$1501,A599,$D$2:$D$1501,D599)</f>
        <v/>
      </c>
    </row>
    <row r="600">
      <c r="A600" s="35" t="n">
        <v>120</v>
      </c>
      <c r="B600" s="41" t="n">
        <v>46419</v>
      </c>
      <c r="C600" s="35" t="n">
        <v>4</v>
      </c>
      <c r="D600" s="33" t="inlineStr">
        <is>
          <t>History</t>
        </is>
      </c>
      <c r="E600" s="36" t="inlineStr">
        <is>
          <t>How many years did the Qing dynasty rule China?</t>
        </is>
      </c>
      <c r="F600" s="42" t="n">
        <v>268</v>
      </c>
      <c r="G600" s="33" t="inlineStr">
        <is>
          <t>years</t>
        </is>
      </c>
      <c r="H600" s="35" t="inlineStr">
        <is>
          <t>Hard</t>
        </is>
      </c>
      <c r="I600" s="33" t="inlineStr">
        <is>
          <t>Britannica</t>
        </is>
      </c>
      <c r="J600" s="35" t="n"/>
      <c r="K600" s="33" t="inlineStr">
        <is>
          <t>Added Oct 2026. Spot check before this day goes live.</t>
        </is>
      </c>
      <c r="L600" s="35">
        <f>COUNTIFS($A$2:$A$1501,A600,$D$2:$D$1501,D600)</f>
        <v/>
      </c>
    </row>
    <row r="601">
      <c r="A601" s="35" t="n">
        <v>120</v>
      </c>
      <c r="B601" s="41" t="n">
        <v>46419</v>
      </c>
      <c r="C601" s="35" t="n">
        <v>5</v>
      </c>
      <c r="D601" s="33" t="inlineStr">
        <is>
          <t>Distance of the Day</t>
        </is>
      </c>
      <c r="E601" s="36" t="inlineStr">
        <is>
          <t>How far is it in a straight line from Toronto to Whitehorse?</t>
        </is>
      </c>
      <c r="F601" s="42" t="n">
        <v>4080</v>
      </c>
      <c r="G601" s="33" t="inlineStr">
        <is>
          <t>km</t>
        </is>
      </c>
      <c r="H601" s="35" t="inlineStr">
        <is>
          <t>Medium</t>
        </is>
      </c>
      <c r="I601" s="33" t="inlineStr">
        <is>
          <t>Computed great-circle distance (city centre to city centre)</t>
        </is>
      </c>
      <c r="J601" s="35" t="n"/>
      <c r="K601" s="33" t="n"/>
      <c r="L601" s="35">
        <f>COUNTIFS($A$2:$A$1501,A601,$D$2:$D$1501,D601)</f>
        <v/>
      </c>
    </row>
    <row r="602">
      <c r="A602" s="35" t="n">
        <v>121</v>
      </c>
      <c r="B602" s="41" t="n">
        <v>46420</v>
      </c>
      <c r="C602" s="35" t="n">
        <v>1</v>
      </c>
      <c r="D602" s="33" t="inlineStr">
        <is>
          <t>Food and Everyday Life</t>
        </is>
      </c>
      <c r="E602" s="36" t="inlineStr">
        <is>
          <t>How many items are in a baker's dozen?</t>
        </is>
      </c>
      <c r="F602" s="42" t="n">
        <v>13</v>
      </c>
      <c r="G602" s="33" t="inlineStr">
        <is>
          <t>items</t>
        </is>
      </c>
      <c r="H602" s="35" t="inlineStr">
        <is>
          <t>Easy</t>
        </is>
      </c>
      <c r="I602" s="33" t="inlineStr">
        <is>
          <t>Merriam-Webster</t>
        </is>
      </c>
      <c r="J602" s="35" t="n"/>
      <c r="K602" s="33" t="inlineStr">
        <is>
          <t>Added Oct 2026. Spot check before this day goes live.</t>
        </is>
      </c>
      <c r="L602" s="35">
        <f>COUNTIFS($A$2:$A$1501,A602,$D$2:$D$1501,D602)</f>
        <v/>
      </c>
    </row>
    <row r="603">
      <c r="A603" s="35" t="n">
        <v>121</v>
      </c>
      <c r="B603" s="41" t="n">
        <v>46420</v>
      </c>
      <c r="C603" s="35" t="n">
        <v>2</v>
      </c>
      <c r="D603" s="33" t="inlineStr">
        <is>
          <t>Geography</t>
        </is>
      </c>
      <c r="E603" s="36" t="inlineStr">
        <is>
          <t>How many countries share a land border with Germany?</t>
        </is>
      </c>
      <c r="F603" s="42" t="n">
        <v>9</v>
      </c>
      <c r="G603" s="33" t="inlineStr">
        <is>
          <t>countries</t>
        </is>
      </c>
      <c r="H603" s="35" t="inlineStr">
        <is>
          <t>Medium</t>
        </is>
      </c>
      <c r="I603" s="33" t="inlineStr">
        <is>
          <t>Britannica</t>
        </is>
      </c>
      <c r="J603" s="35" t="n"/>
      <c r="K603" s="33" t="inlineStr">
        <is>
          <t>Added Oct 2026. Spot check before this day goes live.</t>
        </is>
      </c>
      <c r="L603" s="35">
        <f>COUNTIFS($A$2:$A$1501,A603,$D$2:$D$1501,D603)</f>
        <v/>
      </c>
    </row>
    <row r="604">
      <c r="A604" s="35" t="n">
        <v>121</v>
      </c>
      <c r="B604" s="41" t="n">
        <v>46420</v>
      </c>
      <c r="C604" s="35" t="n">
        <v>3</v>
      </c>
      <c r="D604" s="33" t="inlineStr">
        <is>
          <t>Movies, Music and Games</t>
        </is>
      </c>
      <c r="E604" s="36" t="inlineStr">
        <is>
          <t>How tall was Godzilla in the 2014 film?</t>
        </is>
      </c>
      <c r="F604" s="42" t="n">
        <v>108</v>
      </c>
      <c r="G604" s="33" t="inlineStr">
        <is>
          <t>metres</t>
        </is>
      </c>
      <c r="H604" s="35" t="inlineStr">
        <is>
          <t>Hard</t>
        </is>
      </c>
      <c r="I604" s="33" t="inlineStr">
        <is>
          <t>Legendary Pictures</t>
        </is>
      </c>
      <c r="J604" s="35" t="n"/>
      <c r="K604" s="33" t="inlineStr">
        <is>
          <t>Added Oct 2026. Spot check before this day goes live.</t>
        </is>
      </c>
      <c r="L604" s="35">
        <f>COUNTIFS($A$2:$A$1501,A604,$D$2:$D$1501,D604)</f>
        <v/>
      </c>
    </row>
    <row r="605">
      <c r="A605" s="35" t="n">
        <v>121</v>
      </c>
      <c r="B605" s="41" t="n">
        <v>46420</v>
      </c>
      <c r="C605" s="35" t="n">
        <v>4</v>
      </c>
      <c r="D605" s="33" t="inlineStr">
        <is>
          <t>Human Body</t>
        </is>
      </c>
      <c r="E605" s="36" t="inlineStr">
        <is>
          <t>How many different smells can the human nose detect, by one well-known estimate?</t>
        </is>
      </c>
      <c r="F605" s="42" t="n">
        <v>1</v>
      </c>
      <c r="G605" s="33" t="inlineStr">
        <is>
          <t>trillion</t>
        </is>
      </c>
      <c r="H605" s="35" t="inlineStr">
        <is>
          <t>Hard</t>
        </is>
      </c>
      <c r="I605" s="33" t="inlineStr">
        <is>
          <t>Science (2014)</t>
        </is>
      </c>
      <c r="J605" s="35" t="n"/>
      <c r="K605" s="33" t="inlineStr">
        <is>
          <t>Added Oct 2026. Spot check before this day goes live.</t>
        </is>
      </c>
      <c r="L605" s="35">
        <f>COUNTIFS($A$2:$A$1501,A605,$D$2:$D$1501,D605)</f>
        <v/>
      </c>
    </row>
    <row r="606">
      <c r="A606" s="35" t="n">
        <v>121</v>
      </c>
      <c r="B606" s="41" t="n">
        <v>46420</v>
      </c>
      <c r="C606" s="35" t="n">
        <v>5</v>
      </c>
      <c r="D606" s="33" t="inlineStr">
        <is>
          <t>Distance of the Day</t>
        </is>
      </c>
      <c r="E606" s="36" t="inlineStr">
        <is>
          <t>How far is it in a straight line from Quebec City to Nairobi?</t>
        </is>
      </c>
      <c r="F606" s="42" t="n">
        <v>11470</v>
      </c>
      <c r="G606" s="33" t="inlineStr">
        <is>
          <t>km</t>
        </is>
      </c>
      <c r="H606" s="35" t="inlineStr">
        <is>
          <t>Hard</t>
        </is>
      </c>
      <c r="I606" s="33" t="inlineStr">
        <is>
          <t>Computed great-circle distance (city centre to city centre)</t>
        </is>
      </c>
      <c r="J606" s="35" t="n"/>
      <c r="K606" s="33" t="n"/>
      <c r="L606" s="35">
        <f>COUNTIFS($A$2:$A$1501,A606,$D$2:$D$1501,D606)</f>
        <v/>
      </c>
    </row>
    <row r="607">
      <c r="A607" s="35" t="n">
        <v>122</v>
      </c>
      <c r="B607" s="41" t="n">
        <v>46421</v>
      </c>
      <c r="C607" s="35" t="n">
        <v>1</v>
      </c>
      <c r="D607" s="33" t="inlineStr">
        <is>
          <t>Sports</t>
        </is>
      </c>
      <c r="E607" s="36" t="inlineStr">
        <is>
          <t>How many rings are on the Olympic flag?</t>
        </is>
      </c>
      <c r="F607" s="42" t="n">
        <v>5</v>
      </c>
      <c r="G607" s="33" t="inlineStr">
        <is>
          <t>rings</t>
        </is>
      </c>
      <c r="H607" s="35" t="inlineStr">
        <is>
          <t>Easy</t>
        </is>
      </c>
      <c r="I607" s="33" t="inlineStr">
        <is>
          <t>International Olympic Committee</t>
        </is>
      </c>
      <c r="J607" s="35" t="n"/>
      <c r="K607" s="33" t="inlineStr">
        <is>
          <t>Added Oct 2026. Spot check before this day goes live.</t>
        </is>
      </c>
      <c r="L607" s="35">
        <f>COUNTIFS($A$2:$A$1501,A607,$D$2:$D$1501,D607)</f>
        <v/>
      </c>
    </row>
    <row r="608">
      <c r="A608" s="35" t="n">
        <v>122</v>
      </c>
      <c r="B608" s="41" t="n">
        <v>46421</v>
      </c>
      <c r="C608" s="35" t="n">
        <v>2</v>
      </c>
      <c r="D608" s="33" t="inlineStr">
        <is>
          <t>Canada</t>
        </is>
      </c>
      <c r="E608" s="36" t="inlineStr">
        <is>
          <t>How many lanes wide is Highway 401 at its widest, through Toronto?</t>
        </is>
      </c>
      <c r="F608" s="42" t="n">
        <v>18</v>
      </c>
      <c r="G608" s="33" t="inlineStr">
        <is>
          <t>lanes</t>
        </is>
      </c>
      <c r="H608" s="35" t="inlineStr">
        <is>
          <t>Medium</t>
        </is>
      </c>
      <c r="I608" s="33" t="inlineStr">
        <is>
          <t>Ontario Ministry of Transportation</t>
        </is>
      </c>
      <c r="J608" s="35" t="n"/>
      <c r="K608" s="33" t="inlineStr">
        <is>
          <t>Added Oct 2026. Spot check before this day goes live.</t>
        </is>
      </c>
      <c r="L608" s="35">
        <f>COUNTIFS($A$2:$A$1501,A608,$D$2:$D$1501,D608)</f>
        <v/>
      </c>
    </row>
    <row r="609">
      <c r="A609" s="35" t="n">
        <v>122</v>
      </c>
      <c r="B609" s="41" t="n">
        <v>46421</v>
      </c>
      <c r="C609" s="35" t="n">
        <v>3</v>
      </c>
      <c r="D609" s="33" t="inlineStr">
        <is>
          <t>Space and Science</t>
        </is>
      </c>
      <c r="E609" s="36" t="inlineStr">
        <is>
          <t>How many degrees below zero Celsius does liquid nitrogen boil?</t>
        </is>
      </c>
      <c r="F609" s="42" t="n">
        <v>196</v>
      </c>
      <c r="G609" s="33" t="inlineStr">
        <is>
          <t>°C</t>
        </is>
      </c>
      <c r="H609" s="35" t="inlineStr">
        <is>
          <t>Medium</t>
        </is>
      </c>
      <c r="I609" s="33" t="inlineStr">
        <is>
          <t>NIST</t>
        </is>
      </c>
      <c r="J609" s="35" t="n"/>
      <c r="K609" s="33" t="inlineStr">
        <is>
          <t>Added Oct 2026. Spot check before this day goes live.</t>
        </is>
      </c>
      <c r="L609" s="35">
        <f>COUNTIFS($A$2:$A$1501,A609,$D$2:$D$1501,D609)</f>
        <v/>
      </c>
    </row>
    <row r="610">
      <c r="A610" s="35" t="n">
        <v>122</v>
      </c>
      <c r="B610" s="41" t="n">
        <v>46421</v>
      </c>
      <c r="C610" s="35" t="n">
        <v>4</v>
      </c>
      <c r="D610" s="33" t="inlineStr">
        <is>
          <t>Buildings and Engineering</t>
        </is>
      </c>
      <c r="E610" s="36" t="inlineStr">
        <is>
          <t>How tall is the Canton Tower in Guangzhou?</t>
        </is>
      </c>
      <c r="F610" s="42" t="n">
        <v>600</v>
      </c>
      <c r="G610" s="33" t="inlineStr">
        <is>
          <t>metres</t>
        </is>
      </c>
      <c r="H610" s="35" t="inlineStr">
        <is>
          <t>Hard</t>
        </is>
      </c>
      <c r="I610" s="33" t="inlineStr">
        <is>
          <t>Canton Tower</t>
        </is>
      </c>
      <c r="J610" s="35" t="n"/>
      <c r="K610" s="33" t="inlineStr">
        <is>
          <t>Added Oct 2026. Spot check before this day goes live.</t>
        </is>
      </c>
      <c r="L610" s="35">
        <f>COUNTIFS($A$2:$A$1501,A610,$D$2:$D$1501,D610)</f>
        <v/>
      </c>
    </row>
    <row r="611">
      <c r="A611" s="35" t="n">
        <v>122</v>
      </c>
      <c r="B611" s="41" t="n">
        <v>46421</v>
      </c>
      <c r="C611" s="35" t="n">
        <v>5</v>
      </c>
      <c r="D611" s="33" t="inlineStr">
        <is>
          <t>Distance of the Day</t>
        </is>
      </c>
      <c r="E611" s="36" t="inlineStr">
        <is>
          <t>How far is it in a straight line from Ottawa to Quebec City?</t>
        </is>
      </c>
      <c r="F611" s="42" t="n">
        <v>380</v>
      </c>
      <c r="G611" s="33" t="inlineStr">
        <is>
          <t>km</t>
        </is>
      </c>
      <c r="H611" s="35" t="inlineStr">
        <is>
          <t>Easy</t>
        </is>
      </c>
      <c r="I611" s="33" t="inlineStr">
        <is>
          <t>Computed great-circle distance (city centre to city centre)</t>
        </is>
      </c>
      <c r="J611" s="35" t="n"/>
      <c r="K611" s="33" t="n"/>
      <c r="L611" s="35">
        <f>COUNTIFS($A$2:$A$1501,A611,$D$2:$D$1501,D611)</f>
        <v/>
      </c>
    </row>
    <row r="612">
      <c r="A612" s="35" t="n">
        <v>123</v>
      </c>
      <c r="B612" s="41" t="n">
        <v>46422</v>
      </c>
      <c r="C612" s="35" t="n">
        <v>1</v>
      </c>
      <c r="D612" s="33" t="inlineStr">
        <is>
          <t>Geography</t>
        </is>
      </c>
      <c r="E612" s="36" t="inlineStr">
        <is>
          <t>How high above sea level is Denver, the Mile High City?</t>
        </is>
      </c>
      <c r="F612" s="42" t="n">
        <v>1609</v>
      </c>
      <c r="G612" s="33" t="inlineStr">
        <is>
          <t>metres</t>
        </is>
      </c>
      <c r="H612" s="35" t="inlineStr">
        <is>
          <t>Medium</t>
        </is>
      </c>
      <c r="I612" s="33" t="inlineStr">
        <is>
          <t>City of Denver</t>
        </is>
      </c>
      <c r="J612" s="35" t="n"/>
      <c r="K612" s="33" t="inlineStr">
        <is>
          <t>Added Oct 2026. Spot check before this day goes live.</t>
        </is>
      </c>
      <c r="L612" s="35">
        <f>COUNTIFS($A$2:$A$1501,A612,$D$2:$D$1501,D612)</f>
        <v/>
      </c>
    </row>
    <row r="613">
      <c r="A613" s="35" t="n">
        <v>123</v>
      </c>
      <c r="B613" s="41" t="n">
        <v>46422</v>
      </c>
      <c r="C613" s="35" t="n">
        <v>2</v>
      </c>
      <c r="D613" s="33" t="inlineStr">
        <is>
          <t>History</t>
        </is>
      </c>
      <c r="E613" s="36" t="inlineStr">
        <is>
          <t>How many US presidents have been assassinated?</t>
        </is>
      </c>
      <c r="F613" s="42" t="n">
        <v>4</v>
      </c>
      <c r="G613" s="33" t="inlineStr">
        <is>
          <t>presidents</t>
        </is>
      </c>
      <c r="H613" s="35" t="inlineStr">
        <is>
          <t>Medium</t>
        </is>
      </c>
      <c r="I613" s="33" t="inlineStr">
        <is>
          <t>US National Archives</t>
        </is>
      </c>
      <c r="J613" s="35" t="n"/>
      <c r="K613" s="33" t="inlineStr">
        <is>
          <t>Added Oct 2026. Spot check before this day goes live.</t>
        </is>
      </c>
      <c r="L613" s="35">
        <f>COUNTIFS($A$2:$A$1501,A613,$D$2:$D$1501,D613)</f>
        <v/>
      </c>
    </row>
    <row r="614">
      <c r="A614" s="35" t="n">
        <v>123</v>
      </c>
      <c r="B614" s="41" t="n">
        <v>46422</v>
      </c>
      <c r="C614" s="35" t="n">
        <v>3</v>
      </c>
      <c r="D614" s="33" t="inlineStr">
        <is>
          <t>Animals and Nature</t>
        </is>
      </c>
      <c r="E614" s="36" t="inlineStr">
        <is>
          <t>How tall is General Sherman, the giant sequoia?</t>
        </is>
      </c>
      <c r="F614" s="42" t="n">
        <v>83.8</v>
      </c>
      <c r="G614" s="33" t="inlineStr">
        <is>
          <t>metres</t>
        </is>
      </c>
      <c r="H614" s="35" t="inlineStr">
        <is>
          <t>Hard</t>
        </is>
      </c>
      <c r="I614" s="33" t="inlineStr">
        <is>
          <t>US National Park Service</t>
        </is>
      </c>
      <c r="J614" s="35" t="n"/>
      <c r="K614" s="33" t="inlineStr">
        <is>
          <t>Added Oct 2026. Spot check before this day goes live.</t>
        </is>
      </c>
      <c r="L614" s="35">
        <f>COUNTIFS($A$2:$A$1501,A614,$D$2:$D$1501,D614)</f>
        <v/>
      </c>
    </row>
    <row r="615">
      <c r="A615" s="35" t="n">
        <v>123</v>
      </c>
      <c r="B615" s="41" t="n">
        <v>46422</v>
      </c>
      <c r="C615" s="35" t="n">
        <v>4</v>
      </c>
      <c r="D615" s="33" t="inlineStr">
        <is>
          <t>Human Body</t>
        </is>
      </c>
      <c r="E615" s="36" t="inlineStr">
        <is>
          <t>How many pairs of spinal nerves do humans have?</t>
        </is>
      </c>
      <c r="F615" s="42" t="n">
        <v>31</v>
      </c>
      <c r="G615" s="33" t="inlineStr">
        <is>
          <t>pairs</t>
        </is>
      </c>
      <c r="H615" s="35" t="inlineStr">
        <is>
          <t>Hard</t>
        </is>
      </c>
      <c r="I615" s="33" t="inlineStr">
        <is>
          <t>Britannica</t>
        </is>
      </c>
      <c r="J615" s="35" t="n"/>
      <c r="K615" s="33" t="inlineStr">
        <is>
          <t>Added Oct 2026. Spot check before this day goes live.</t>
        </is>
      </c>
      <c r="L615" s="35">
        <f>COUNTIFS($A$2:$A$1501,A615,$D$2:$D$1501,D615)</f>
        <v/>
      </c>
    </row>
    <row r="616">
      <c r="A616" s="35" t="n">
        <v>123</v>
      </c>
      <c r="B616" s="41" t="n">
        <v>46422</v>
      </c>
      <c r="C616" s="35" t="n">
        <v>5</v>
      </c>
      <c r="D616" s="33" t="inlineStr">
        <is>
          <t>Distance of the Day</t>
        </is>
      </c>
      <c r="E616" s="36" t="inlineStr">
        <is>
          <t>How far is it in a straight line from Sudbury to Prague?</t>
        </is>
      </c>
      <c r="F616" s="42" t="n">
        <v>6570</v>
      </c>
      <c r="G616" s="33" t="inlineStr">
        <is>
          <t>km</t>
        </is>
      </c>
      <c r="H616" s="35" t="inlineStr">
        <is>
          <t>Medium</t>
        </is>
      </c>
      <c r="I616" s="33" t="inlineStr">
        <is>
          <t>Computed great-circle distance (city centre to city centre)</t>
        </is>
      </c>
      <c r="J616" s="35" t="n"/>
      <c r="K616" s="33" t="n"/>
      <c r="L616" s="35">
        <f>COUNTIFS($A$2:$A$1501,A616,$D$2:$D$1501,D616)</f>
        <v/>
      </c>
    </row>
    <row r="617">
      <c r="A617" s="35" t="n">
        <v>124</v>
      </c>
      <c r="B617" s="41" t="n">
        <v>46423</v>
      </c>
      <c r="C617" s="35" t="n">
        <v>1</v>
      </c>
      <c r="D617" s="33" t="inlineStr">
        <is>
          <t>Sports</t>
        </is>
      </c>
      <c r="E617" s="36" t="inlineStr">
        <is>
          <t>How many rounds is a championship boxing fight?</t>
        </is>
      </c>
      <c r="F617" s="42" t="n">
        <v>12</v>
      </c>
      <c r="G617" s="33" t="inlineStr">
        <is>
          <t>rounds</t>
        </is>
      </c>
      <c r="H617" s="35" t="inlineStr">
        <is>
          <t>Easy</t>
        </is>
      </c>
      <c r="I617" s="33" t="inlineStr">
        <is>
          <t>WBC / WBA</t>
        </is>
      </c>
      <c r="J617" s="35" t="n"/>
      <c r="K617" s="33" t="inlineStr">
        <is>
          <t>Added Oct 2026. Spot check before this day goes live.</t>
        </is>
      </c>
      <c r="L617" s="35">
        <f>COUNTIFS($A$2:$A$1501,A617,$D$2:$D$1501,D617)</f>
        <v/>
      </c>
    </row>
    <row r="618">
      <c r="A618" s="35" t="n">
        <v>124</v>
      </c>
      <c r="B618" s="41" t="n">
        <v>46423</v>
      </c>
      <c r="C618" s="35" t="n">
        <v>2</v>
      </c>
      <c r="D618" s="33" t="inlineStr">
        <is>
          <t>Food and Everyday Life</t>
        </is>
      </c>
      <c r="E618" s="36" t="inlineStr">
        <is>
          <t>How many grams are in a pound?</t>
        </is>
      </c>
      <c r="F618" s="42" t="n">
        <v>454</v>
      </c>
      <c r="G618" s="33" t="inlineStr">
        <is>
          <t>grams</t>
        </is>
      </c>
      <c r="H618" s="35" t="inlineStr">
        <is>
          <t>Medium</t>
        </is>
      </c>
      <c r="I618" s="33" t="inlineStr">
        <is>
          <t>NIST</t>
        </is>
      </c>
      <c r="J618" s="35" t="n"/>
      <c r="K618" s="33" t="inlineStr">
        <is>
          <t>Added Oct 2026. Spot check before this day goes live.</t>
        </is>
      </c>
      <c r="L618" s="35">
        <f>COUNTIFS($A$2:$A$1501,A618,$D$2:$D$1501,D618)</f>
        <v/>
      </c>
    </row>
    <row r="619">
      <c r="A619" s="35" t="n">
        <v>124</v>
      </c>
      <c r="B619" s="41" t="n">
        <v>46423</v>
      </c>
      <c r="C619" s="35" t="n">
        <v>3</v>
      </c>
      <c r="D619" s="33" t="inlineStr">
        <is>
          <t>Space and Science</t>
        </is>
      </c>
      <c r="E619" s="36" t="inlineStr">
        <is>
          <t>What is the atomic number of mercury?</t>
        </is>
      </c>
      <c r="F619" s="42" t="n">
        <v>80</v>
      </c>
      <c r="G619" s="33" t="n"/>
      <c r="H619" s="35" t="inlineStr">
        <is>
          <t>Hard</t>
        </is>
      </c>
      <c r="I619" s="33" t="inlineStr">
        <is>
          <t>IUPAC periodic table</t>
        </is>
      </c>
      <c r="J619" s="35" t="n"/>
      <c r="K619" s="33" t="inlineStr">
        <is>
          <t>Added Oct 2026. Spot check before this day goes live.</t>
        </is>
      </c>
      <c r="L619" s="35">
        <f>COUNTIFS($A$2:$A$1501,A619,$D$2:$D$1501,D619)</f>
        <v/>
      </c>
    </row>
    <row r="620">
      <c r="A620" s="35" t="n">
        <v>124</v>
      </c>
      <c r="B620" s="41" t="n">
        <v>46423</v>
      </c>
      <c r="C620" s="35" t="n">
        <v>4</v>
      </c>
      <c r="D620" s="33" t="inlineStr">
        <is>
          <t>Canada</t>
        </is>
      </c>
      <c r="E620" s="36" t="inlineStr">
        <is>
          <t>How many lighthouses does Nova Scotia have?</t>
        </is>
      </c>
      <c r="F620" s="42" t="n">
        <v>160</v>
      </c>
      <c r="G620" s="33" t="inlineStr">
        <is>
          <t>lighthouses</t>
        </is>
      </c>
      <c r="H620" s="35" t="inlineStr">
        <is>
          <t>Hard</t>
        </is>
      </c>
      <c r="I620" s="33" t="inlineStr">
        <is>
          <t>Nova Scotia Lighthouse Preservation Society</t>
        </is>
      </c>
      <c r="J620" s="35" t="n"/>
      <c r="K620" s="33" t="inlineStr">
        <is>
          <t>Added Oct 2026. Spot check before this day goes live.</t>
        </is>
      </c>
      <c r="L620" s="35">
        <f>COUNTIFS($A$2:$A$1501,A620,$D$2:$D$1501,D620)</f>
        <v/>
      </c>
    </row>
    <row r="621">
      <c r="A621" s="35" t="n">
        <v>124</v>
      </c>
      <c r="B621" s="41" t="n">
        <v>46423</v>
      </c>
      <c r="C621" s="35" t="n">
        <v>5</v>
      </c>
      <c r="D621" s="33" t="inlineStr">
        <is>
          <t>Distance of the Day</t>
        </is>
      </c>
      <c r="E621" s="36" t="inlineStr">
        <is>
          <t>How far is it in a straight line from Regina to Hanoi?</t>
        </is>
      </c>
      <c r="F621" s="42" t="n">
        <v>11520</v>
      </c>
      <c r="G621" s="33" t="inlineStr">
        <is>
          <t>km</t>
        </is>
      </c>
      <c r="H621" s="35" t="inlineStr">
        <is>
          <t>Hard</t>
        </is>
      </c>
      <c r="I621" s="33" t="inlineStr">
        <is>
          <t>Computed great-circle distance (city centre to city centre)</t>
        </is>
      </c>
      <c r="J621" s="35" t="n"/>
      <c r="K621" s="33" t="n"/>
      <c r="L621" s="35">
        <f>COUNTIFS($A$2:$A$1501,A621,$D$2:$D$1501,D621)</f>
        <v/>
      </c>
    </row>
    <row r="622">
      <c r="A622" s="35" t="n">
        <v>125</v>
      </c>
      <c r="B622" s="41" t="n">
        <v>46424</v>
      </c>
      <c r="C622" s="35" t="n">
        <v>1</v>
      </c>
      <c r="D622" s="33" t="inlineStr">
        <is>
          <t>Movies, Music and Games</t>
        </is>
      </c>
      <c r="E622" s="36" t="inlineStr">
        <is>
          <t>How many lines are in a musical staff?</t>
        </is>
      </c>
      <c r="F622" s="42" t="n">
        <v>5</v>
      </c>
      <c r="G622" s="33" t="inlineStr">
        <is>
          <t>lines</t>
        </is>
      </c>
      <c r="H622" s="35" t="inlineStr">
        <is>
          <t>Easy</t>
        </is>
      </c>
      <c r="I622" s="33" t="inlineStr">
        <is>
          <t>Britannica</t>
        </is>
      </c>
      <c r="J622" s="35" t="n"/>
      <c r="K622" s="33" t="inlineStr">
        <is>
          <t>Added Oct 2026. Spot check before this day goes live.</t>
        </is>
      </c>
      <c r="L622" s="35">
        <f>COUNTIFS($A$2:$A$1501,A622,$D$2:$D$1501,D622)</f>
        <v/>
      </c>
    </row>
    <row r="623">
      <c r="A623" s="35" t="n">
        <v>125</v>
      </c>
      <c r="B623" s="41" t="n">
        <v>46424</v>
      </c>
      <c r="C623" s="35" t="n">
        <v>2</v>
      </c>
      <c r="D623" s="33" t="inlineStr">
        <is>
          <t>Animals and Nature</t>
        </is>
      </c>
      <c r="E623" s="36" t="inlineStr">
        <is>
          <t>How tall is an adult African elephant at the shoulder?</t>
        </is>
      </c>
      <c r="F623" s="42" t="n">
        <v>3.3</v>
      </c>
      <c r="G623" s="33" t="inlineStr">
        <is>
          <t>metres</t>
        </is>
      </c>
      <c r="H623" s="35" t="inlineStr">
        <is>
          <t>Medium</t>
        </is>
      </c>
      <c r="I623" s="33" t="inlineStr">
        <is>
          <t>WWF</t>
        </is>
      </c>
      <c r="J623" s="35" t="n"/>
      <c r="K623" s="33" t="inlineStr">
        <is>
          <t>Added Oct 2026. Spot check before this day goes live.</t>
        </is>
      </c>
      <c r="L623" s="35">
        <f>COUNTIFS($A$2:$A$1501,A623,$D$2:$D$1501,D623)</f>
        <v/>
      </c>
    </row>
    <row r="624">
      <c r="A624" s="35" t="n">
        <v>125</v>
      </c>
      <c r="B624" s="41" t="n">
        <v>46424</v>
      </c>
      <c r="C624" s="35" t="n">
        <v>3</v>
      </c>
      <c r="D624" s="33" t="inlineStr">
        <is>
          <t>Human Body</t>
        </is>
      </c>
      <c r="E624" s="36" t="inlineStr">
        <is>
          <t>How many times a minute does the average person blink?</t>
        </is>
      </c>
      <c r="F624" s="42" t="n">
        <v>15</v>
      </c>
      <c r="G624" s="33" t="inlineStr">
        <is>
          <t>blinks</t>
        </is>
      </c>
      <c r="H624" s="35" t="inlineStr">
        <is>
          <t>Medium</t>
        </is>
      </c>
      <c r="I624" s="33" t="inlineStr">
        <is>
          <t>American Academy of Ophthalmology</t>
        </is>
      </c>
      <c r="J624" s="35" t="n"/>
      <c r="K624" s="33" t="inlineStr">
        <is>
          <t>Added Oct 2026. Spot check before this day goes live.</t>
        </is>
      </c>
      <c r="L624" s="35">
        <f>COUNTIFS($A$2:$A$1501,A624,$D$2:$D$1501,D624)</f>
        <v/>
      </c>
    </row>
    <row r="625">
      <c r="A625" s="35" t="n">
        <v>125</v>
      </c>
      <c r="B625" s="41" t="n">
        <v>46424</v>
      </c>
      <c r="C625" s="35" t="n">
        <v>4</v>
      </c>
      <c r="D625" s="33" t="inlineStr">
        <is>
          <t>Geography</t>
        </is>
      </c>
      <c r="E625" s="36" t="inlineStr">
        <is>
          <t>How tall is Table Mountain in Cape Town?</t>
        </is>
      </c>
      <c r="F625" s="42" t="n">
        <v>1085</v>
      </c>
      <c r="G625" s="33" t="inlineStr">
        <is>
          <t>metres</t>
        </is>
      </c>
      <c r="H625" s="35" t="inlineStr">
        <is>
          <t>Hard</t>
        </is>
      </c>
      <c r="I625" s="33" t="inlineStr">
        <is>
          <t>SANParks</t>
        </is>
      </c>
      <c r="J625" s="35" t="n"/>
      <c r="K625" s="33" t="inlineStr">
        <is>
          <t>Added Oct 2026. Spot check before this day goes live.</t>
        </is>
      </c>
      <c r="L625" s="35">
        <f>COUNTIFS($A$2:$A$1501,A625,$D$2:$D$1501,D625)</f>
        <v/>
      </c>
    </row>
    <row r="626">
      <c r="A626" s="35" t="n">
        <v>125</v>
      </c>
      <c r="B626" s="41" t="n">
        <v>46424</v>
      </c>
      <c r="C626" s="35" t="n">
        <v>5</v>
      </c>
      <c r="D626" s="33" t="inlineStr">
        <is>
          <t>Distance of the Day</t>
        </is>
      </c>
      <c r="E626" s="36" t="inlineStr">
        <is>
          <t>How far is it in a straight line from Toronto to New Orleans?</t>
        </is>
      </c>
      <c r="F626" s="42" t="n">
        <v>1790</v>
      </c>
      <c r="G626" s="33" t="inlineStr">
        <is>
          <t>km</t>
        </is>
      </c>
      <c r="H626" s="35" t="inlineStr">
        <is>
          <t>Medium</t>
        </is>
      </c>
      <c r="I626" s="33" t="inlineStr">
        <is>
          <t>Computed great-circle distance (city centre to city centre)</t>
        </is>
      </c>
      <c r="J626" s="35" t="n"/>
      <c r="K626" s="33" t="n"/>
      <c r="L626" s="35">
        <f>COUNTIFS($A$2:$A$1501,A626,$D$2:$D$1501,D626)</f>
        <v/>
      </c>
    </row>
    <row r="627">
      <c r="A627" s="35" t="n">
        <v>126</v>
      </c>
      <c r="B627" s="41" t="n">
        <v>46425</v>
      </c>
      <c r="C627" s="35" t="n">
        <v>1</v>
      </c>
      <c r="D627" s="33" t="inlineStr">
        <is>
          <t>Sports</t>
        </is>
      </c>
      <c r="E627" s="36" t="inlineStr">
        <is>
          <t>How many home runs did Aaron Judge hit in 2022, the American League record?</t>
        </is>
      </c>
      <c r="F627" s="42" t="n">
        <v>62</v>
      </c>
      <c r="G627" s="33" t="inlineStr">
        <is>
          <t>home runs</t>
        </is>
      </c>
      <c r="H627" s="35" t="inlineStr">
        <is>
          <t>Medium</t>
        </is>
      </c>
      <c r="I627" s="33" t="inlineStr">
        <is>
          <t>MLB.com</t>
        </is>
      </c>
      <c r="J627" s="35" t="n"/>
      <c r="K627" s="33" t="inlineStr">
        <is>
          <t>Added Oct 2026. Spot check before this day goes live.</t>
        </is>
      </c>
      <c r="L627" s="35">
        <f>COUNTIFS($A$2:$A$1501,A627,$D$2:$D$1501,D627)</f>
        <v/>
      </c>
    </row>
    <row r="628">
      <c r="A628" s="35" t="n">
        <v>126</v>
      </c>
      <c r="B628" s="41" t="n">
        <v>46425</v>
      </c>
      <c r="C628" s="35" t="n">
        <v>2</v>
      </c>
      <c r="D628" s="33" t="inlineStr">
        <is>
          <t>Canada</t>
        </is>
      </c>
      <c r="E628" s="36" t="inlineStr">
        <is>
          <t>How many of the Great Lakes does Canada border?</t>
        </is>
      </c>
      <c r="F628" s="42" t="n">
        <v>4</v>
      </c>
      <c r="G628" s="33" t="inlineStr">
        <is>
          <t>lakes</t>
        </is>
      </c>
      <c r="H628" s="35" t="inlineStr">
        <is>
          <t>Medium</t>
        </is>
      </c>
      <c r="I628" s="33" t="inlineStr">
        <is>
          <t>Government of Canada</t>
        </is>
      </c>
      <c r="J628" s="35" t="n"/>
      <c r="K628" s="33" t="inlineStr">
        <is>
          <t>Added Oct 2026. Spot check before this day goes live.</t>
        </is>
      </c>
      <c r="L628" s="35">
        <f>COUNTIFS($A$2:$A$1501,A628,$D$2:$D$1501,D628)</f>
        <v/>
      </c>
    </row>
    <row r="629">
      <c r="A629" s="35" t="n">
        <v>126</v>
      </c>
      <c r="B629" s="41" t="n">
        <v>46425</v>
      </c>
      <c r="C629" s="35" t="n">
        <v>3</v>
      </c>
      <c r="D629" s="33" t="inlineStr">
        <is>
          <t>Space and Science</t>
        </is>
      </c>
      <c r="E629" s="36" t="inlineStr">
        <is>
          <t>How much water is in all of Earth's oceans?</t>
        </is>
      </c>
      <c r="F629" s="42" t="n">
        <v>1.335</v>
      </c>
      <c r="G629" s="33" t="inlineStr">
        <is>
          <t>billion km³</t>
        </is>
      </c>
      <c r="H629" s="35" t="inlineStr">
        <is>
          <t>Hard</t>
        </is>
      </c>
      <c r="I629" s="33" t="inlineStr">
        <is>
          <t>NOAA</t>
        </is>
      </c>
      <c r="J629" s="35" t="n"/>
      <c r="K629" s="33" t="inlineStr">
        <is>
          <t>Added Oct 2026. Spot check before this day goes live.</t>
        </is>
      </c>
      <c r="L629" s="35">
        <f>COUNTIFS($A$2:$A$1501,A629,$D$2:$D$1501,D629)</f>
        <v/>
      </c>
    </row>
    <row r="630">
      <c r="A630" s="35" t="n">
        <v>126</v>
      </c>
      <c r="B630" s="41" t="n">
        <v>46425</v>
      </c>
      <c r="C630" s="35" t="n">
        <v>4</v>
      </c>
      <c r="D630" s="33" t="inlineStr">
        <is>
          <t>Buildings and Engineering</t>
        </is>
      </c>
      <c r="E630" s="36" t="inlineStr">
        <is>
          <t>How tall is the Sydney Opera House?</t>
        </is>
      </c>
      <c r="F630" s="42" t="n">
        <v>65</v>
      </c>
      <c r="G630" s="33" t="inlineStr">
        <is>
          <t>metres</t>
        </is>
      </c>
      <c r="H630" s="35" t="inlineStr">
        <is>
          <t>Hard</t>
        </is>
      </c>
      <c r="I630" s="33" t="inlineStr">
        <is>
          <t>Sydney Opera House</t>
        </is>
      </c>
      <c r="J630" s="35" t="n"/>
      <c r="K630" s="33" t="inlineStr">
        <is>
          <t>Added Oct 2026. Spot check before this day goes live.</t>
        </is>
      </c>
      <c r="L630" s="35">
        <f>COUNTIFS($A$2:$A$1501,A630,$D$2:$D$1501,D630)</f>
        <v/>
      </c>
    </row>
    <row r="631">
      <c r="A631" s="35" t="n">
        <v>126</v>
      </c>
      <c r="B631" s="41" t="n">
        <v>46425</v>
      </c>
      <c r="C631" s="35" t="n">
        <v>5</v>
      </c>
      <c r="D631" s="33" t="inlineStr">
        <is>
          <t>Distance of the Day</t>
        </is>
      </c>
      <c r="E631" s="36" t="inlineStr">
        <is>
          <t>How far is it in a straight line from Regina to Yellowknife?</t>
        </is>
      </c>
      <c r="F631" s="42" t="n">
        <v>1460</v>
      </c>
      <c r="G631" s="33" t="inlineStr">
        <is>
          <t>km</t>
        </is>
      </c>
      <c r="H631" s="35" t="inlineStr">
        <is>
          <t>Easy</t>
        </is>
      </c>
      <c r="I631" s="33" t="inlineStr">
        <is>
          <t>Computed great-circle distance (city centre to city centre)</t>
        </is>
      </c>
      <c r="J631" s="35" t="n"/>
      <c r="K631" s="33" t="n"/>
      <c r="L631" s="35">
        <f>COUNTIFS($A$2:$A$1501,A631,$D$2:$D$1501,D631)</f>
        <v/>
      </c>
    </row>
    <row r="632">
      <c r="A632" s="35" t="n">
        <v>127</v>
      </c>
      <c r="B632" s="41" t="n">
        <v>46426</v>
      </c>
      <c r="C632" s="35" t="n">
        <v>1</v>
      </c>
      <c r="D632" s="33" t="inlineStr">
        <is>
          <t>Food and Everyday Life</t>
        </is>
      </c>
      <c r="E632" s="36" t="inlineStr">
        <is>
          <t>How many teaspoons are in a tablespoon?</t>
        </is>
      </c>
      <c r="F632" s="42" t="n">
        <v>3</v>
      </c>
      <c r="G632" s="33" t="inlineStr">
        <is>
          <t>teaspoons</t>
        </is>
      </c>
      <c r="H632" s="35" t="inlineStr">
        <is>
          <t>Easy</t>
        </is>
      </c>
      <c r="I632" s="33" t="inlineStr">
        <is>
          <t>Health Canada</t>
        </is>
      </c>
      <c r="J632" s="35" t="n"/>
      <c r="K632" s="33" t="inlineStr">
        <is>
          <t>Added Oct 2026. Spot check before this day goes live.</t>
        </is>
      </c>
      <c r="L632" s="35">
        <f>COUNTIFS($A$2:$A$1501,A632,$D$2:$D$1501,D632)</f>
        <v/>
      </c>
    </row>
    <row r="633">
      <c r="A633" s="35" t="n">
        <v>127</v>
      </c>
      <c r="B633" s="41" t="n">
        <v>46426</v>
      </c>
      <c r="C633" s="35" t="n">
        <v>2</v>
      </c>
      <c r="D633" s="33" t="inlineStr">
        <is>
          <t>Movies, Music and Games</t>
        </is>
      </c>
      <c r="E633" s="36" t="inlineStr">
        <is>
          <t>How many black keys are on a standard piano?</t>
        </is>
      </c>
      <c r="F633" s="42" t="n">
        <v>36</v>
      </c>
      <c r="G633" s="33" t="inlineStr">
        <is>
          <t>keys</t>
        </is>
      </c>
      <c r="H633" s="35" t="inlineStr">
        <is>
          <t>Medium</t>
        </is>
      </c>
      <c r="I633" s="33" t="inlineStr">
        <is>
          <t>Steinway &amp; Sons</t>
        </is>
      </c>
      <c r="J633" s="35" t="n"/>
      <c r="K633" s="33" t="inlineStr">
        <is>
          <t>Added Oct 2026. Spot check before this day goes live.</t>
        </is>
      </c>
      <c r="L633" s="35">
        <f>COUNTIFS($A$2:$A$1501,A633,$D$2:$D$1501,D633)</f>
        <v/>
      </c>
    </row>
    <row r="634">
      <c r="A634" s="35" t="n">
        <v>127</v>
      </c>
      <c r="B634" s="41" t="n">
        <v>46426</v>
      </c>
      <c r="C634" s="35" t="n">
        <v>3</v>
      </c>
      <c r="D634" s="33" t="inlineStr">
        <is>
          <t>History</t>
        </is>
      </c>
      <c r="E634" s="36" t="inlineStr">
        <is>
          <t>How old was Joan of Arc when she died?</t>
        </is>
      </c>
      <c r="F634" s="42" t="n">
        <v>19</v>
      </c>
      <c r="G634" s="33" t="inlineStr">
        <is>
          <t>years</t>
        </is>
      </c>
      <c r="H634" s="35" t="inlineStr">
        <is>
          <t>Medium</t>
        </is>
      </c>
      <c r="I634" s="33" t="inlineStr">
        <is>
          <t>Britannica</t>
        </is>
      </c>
      <c r="J634" s="35" t="n"/>
      <c r="K634" s="33" t="inlineStr">
        <is>
          <t>Added Oct 2026. Spot check before this day goes live.</t>
        </is>
      </c>
      <c r="L634" s="35">
        <f>COUNTIFS($A$2:$A$1501,A634,$D$2:$D$1501,D634)</f>
        <v/>
      </c>
    </row>
    <row r="635">
      <c r="A635" s="35" t="n">
        <v>127</v>
      </c>
      <c r="B635" s="41" t="n">
        <v>46426</v>
      </c>
      <c r="C635" s="35" t="n">
        <v>4</v>
      </c>
      <c r="D635" s="33" t="inlineStr">
        <is>
          <t>Animals and Nature</t>
        </is>
      </c>
      <c r="E635" s="36" t="inlineStr">
        <is>
          <t>How many species of beetles have been described?</t>
        </is>
      </c>
      <c r="F635" s="42" t="n">
        <v>400000</v>
      </c>
      <c r="G635" s="33" t="inlineStr">
        <is>
          <t>species</t>
        </is>
      </c>
      <c r="H635" s="35" t="inlineStr">
        <is>
          <t>Hard</t>
        </is>
      </c>
      <c r="I635" s="33" t="inlineStr">
        <is>
          <t>Natural History Museum (London)</t>
        </is>
      </c>
      <c r="J635" s="35" t="n"/>
      <c r="K635" s="33" t="inlineStr">
        <is>
          <t>Added Oct 2026. Spot check before this day goes live.</t>
        </is>
      </c>
      <c r="L635" s="35">
        <f>COUNTIFS($A$2:$A$1501,A635,$D$2:$D$1501,D635)</f>
        <v/>
      </c>
    </row>
    <row r="636">
      <c r="A636" s="35" t="n">
        <v>127</v>
      </c>
      <c r="B636" s="41" t="n">
        <v>46426</v>
      </c>
      <c r="C636" s="35" t="n">
        <v>5</v>
      </c>
      <c r="D636" s="33" t="inlineStr">
        <is>
          <t>Distance of the Day</t>
        </is>
      </c>
      <c r="E636" s="36" t="inlineStr">
        <is>
          <t>How far is it in a straight line from Iqaluit to Kingston, Jamaica?</t>
        </is>
      </c>
      <c r="F636" s="42" t="n">
        <v>5130</v>
      </c>
      <c r="G636" s="33" t="inlineStr">
        <is>
          <t>km</t>
        </is>
      </c>
      <c r="H636" s="35" t="inlineStr">
        <is>
          <t>Medium</t>
        </is>
      </c>
      <c r="I636" s="33" t="inlineStr">
        <is>
          <t>Computed great-circle distance (city centre to city centre)</t>
        </is>
      </c>
      <c r="J636" s="35" t="n"/>
      <c r="K636" s="33" t="n"/>
      <c r="L636" s="35">
        <f>COUNTIFS($A$2:$A$1501,A636,$D$2:$D$1501,D636)</f>
        <v/>
      </c>
    </row>
    <row r="637">
      <c r="A637" s="35" t="n">
        <v>128</v>
      </c>
      <c r="B637" s="41" t="n">
        <v>46427</v>
      </c>
      <c r="C637" s="35" t="n">
        <v>1</v>
      </c>
      <c r="D637" s="33" t="inlineStr">
        <is>
          <t>Sports</t>
        </is>
      </c>
      <c r="E637" s="36" t="inlineStr">
        <is>
          <t>How many players does each soccer team have on the field?</t>
        </is>
      </c>
      <c r="F637" s="42" t="n">
        <v>11</v>
      </c>
      <c r="G637" s="33" t="inlineStr">
        <is>
          <t>players</t>
        </is>
      </c>
      <c r="H637" s="35" t="inlineStr">
        <is>
          <t>Easy</t>
        </is>
      </c>
      <c r="I637" s="33" t="inlineStr">
        <is>
          <t>IFAB Laws of the Game</t>
        </is>
      </c>
      <c r="J637" s="35" t="n"/>
      <c r="K637" s="33" t="inlineStr">
        <is>
          <t>Added Oct 2026. Spot check before this day goes live.</t>
        </is>
      </c>
      <c r="L637" s="35">
        <f>COUNTIFS($A$2:$A$1501,A637,$D$2:$D$1501,D637)</f>
        <v/>
      </c>
    </row>
    <row r="638">
      <c r="A638" s="35" t="n">
        <v>128</v>
      </c>
      <c r="B638" s="41" t="n">
        <v>46427</v>
      </c>
      <c r="C638" s="35" t="n">
        <v>2</v>
      </c>
      <c r="D638" s="33" t="inlineStr">
        <is>
          <t>Geography</t>
        </is>
      </c>
      <c r="E638" s="36" t="inlineStr">
        <is>
          <t>How tall is Uluru above the surrounding plain?</t>
        </is>
      </c>
      <c r="F638" s="42" t="n">
        <v>348</v>
      </c>
      <c r="G638" s="33" t="inlineStr">
        <is>
          <t>metres</t>
        </is>
      </c>
      <c r="H638" s="35" t="inlineStr">
        <is>
          <t>Medium</t>
        </is>
      </c>
      <c r="I638" s="33" t="inlineStr">
        <is>
          <t>Parks Australia</t>
        </is>
      </c>
      <c r="J638" s="35" t="n"/>
      <c r="K638" s="33" t="inlineStr">
        <is>
          <t>Added Oct 2026. Spot check before this day goes live.</t>
        </is>
      </c>
      <c r="L638" s="35">
        <f>COUNTIFS($A$2:$A$1501,A638,$D$2:$D$1501,D638)</f>
        <v/>
      </c>
    </row>
    <row r="639">
      <c r="A639" s="35" t="n">
        <v>128</v>
      </c>
      <c r="B639" s="41" t="n">
        <v>46427</v>
      </c>
      <c r="C639" s="35" t="n">
        <v>3</v>
      </c>
      <c r="D639" s="33" t="inlineStr">
        <is>
          <t>Human Body</t>
        </is>
      </c>
      <c r="E639" s="36" t="inlineStr">
        <is>
          <t>How many days does a taste bud live before it is replaced?</t>
        </is>
      </c>
      <c r="F639" s="42" t="n">
        <v>10</v>
      </c>
      <c r="G639" s="33" t="inlineStr">
        <is>
          <t>days</t>
        </is>
      </c>
      <c r="H639" s="35" t="inlineStr">
        <is>
          <t>Hard</t>
        </is>
      </c>
      <c r="I639" s="33" t="inlineStr">
        <is>
          <t>NIH</t>
        </is>
      </c>
      <c r="J639" s="35" t="n"/>
      <c r="K639" s="33" t="inlineStr">
        <is>
          <t>Added Oct 2026. Spot check before this day goes live.</t>
        </is>
      </c>
      <c r="L639" s="35">
        <f>COUNTIFS($A$2:$A$1501,A639,$D$2:$D$1501,D639)</f>
        <v/>
      </c>
    </row>
    <row r="640">
      <c r="A640" s="35" t="n">
        <v>128</v>
      </c>
      <c r="B640" s="41" t="n">
        <v>46427</v>
      </c>
      <c r="C640" s="35" t="n">
        <v>4</v>
      </c>
      <c r="D640" s="33" t="inlineStr">
        <is>
          <t>Buildings and Engineering</t>
        </is>
      </c>
      <c r="E640" s="36" t="inlineStr">
        <is>
          <t>How long is a Nimitz-class aircraft carrier?</t>
        </is>
      </c>
      <c r="F640" s="42" t="n">
        <v>333</v>
      </c>
      <c r="G640" s="33" t="inlineStr">
        <is>
          <t>metres</t>
        </is>
      </c>
      <c r="H640" s="35" t="inlineStr">
        <is>
          <t>Hard</t>
        </is>
      </c>
      <c r="I640" s="33" t="inlineStr">
        <is>
          <t>US Navy</t>
        </is>
      </c>
      <c r="J640" s="35" t="n"/>
      <c r="K640" s="33" t="inlineStr">
        <is>
          <t>Added Oct 2026. Spot check before this day goes live.</t>
        </is>
      </c>
      <c r="L640" s="35">
        <f>COUNTIFS($A$2:$A$1501,A640,$D$2:$D$1501,D640)</f>
        <v/>
      </c>
    </row>
    <row r="641">
      <c r="A641" s="35" t="n">
        <v>128</v>
      </c>
      <c r="B641" s="41" t="n">
        <v>46427</v>
      </c>
      <c r="C641" s="35" t="n">
        <v>5</v>
      </c>
      <c r="D641" s="33" t="inlineStr">
        <is>
          <t>Distance of the Day</t>
        </is>
      </c>
      <c r="E641" s="36" t="inlineStr">
        <is>
          <t>How far is it in a straight line from Winnipeg to Kathmandu?</t>
        </is>
      </c>
      <c r="F641" s="42" t="n">
        <v>11380</v>
      </c>
      <c r="G641" s="33" t="inlineStr">
        <is>
          <t>km</t>
        </is>
      </c>
      <c r="H641" s="35" t="inlineStr">
        <is>
          <t>Hard</t>
        </is>
      </c>
      <c r="I641" s="33" t="inlineStr">
        <is>
          <t>Computed great-circle distance (city centre to city centre)</t>
        </is>
      </c>
      <c r="J641" s="35" t="n"/>
      <c r="K641" s="33" t="n"/>
      <c r="L641" s="35">
        <f>COUNTIFS($A$2:$A$1501,A641,$D$2:$D$1501,D641)</f>
        <v/>
      </c>
    </row>
    <row r="642">
      <c r="A642" s="35" t="n">
        <v>129</v>
      </c>
      <c r="B642" s="41" t="n">
        <v>46428</v>
      </c>
      <c r="C642" s="35" t="n">
        <v>1</v>
      </c>
      <c r="D642" s="33" t="inlineStr">
        <is>
          <t>Space and Science</t>
        </is>
      </c>
      <c r="E642" s="36" t="inlineStr">
        <is>
          <t>How heavy is a cubic metre of water?</t>
        </is>
      </c>
      <c r="F642" s="42" t="n">
        <v>1000</v>
      </c>
      <c r="G642" s="33" t="inlineStr">
        <is>
          <t>kg</t>
        </is>
      </c>
      <c r="H642" s="35" t="inlineStr">
        <is>
          <t>Easy</t>
        </is>
      </c>
      <c r="I642" s="33" t="inlineStr">
        <is>
          <t>NIST</t>
        </is>
      </c>
      <c r="J642" s="35" t="n"/>
      <c r="K642" s="33" t="inlineStr">
        <is>
          <t>Added Oct 2026. Spot check before this day goes live.</t>
        </is>
      </c>
      <c r="L642" s="35">
        <f>COUNTIFS($A$2:$A$1501,A642,$D$2:$D$1501,D642)</f>
        <v/>
      </c>
    </row>
    <row r="643">
      <c r="A643" s="35" t="n">
        <v>129</v>
      </c>
      <c r="B643" s="41" t="n">
        <v>46428</v>
      </c>
      <c r="C643" s="35" t="n">
        <v>2</v>
      </c>
      <c r="D643" s="33" t="inlineStr">
        <is>
          <t>History</t>
        </is>
      </c>
      <c r="E643" s="36" t="inlineStr">
        <is>
          <t>How many seconds did the Wright brothers' first powered flight last?</t>
        </is>
      </c>
      <c r="F643" s="42" t="n">
        <v>12</v>
      </c>
      <c r="G643" s="33" t="inlineStr">
        <is>
          <t>seconds</t>
        </is>
      </c>
      <c r="H643" s="35" t="inlineStr">
        <is>
          <t>Medium</t>
        </is>
      </c>
      <c r="I643" s="33" t="inlineStr">
        <is>
          <t>Smithsonian</t>
        </is>
      </c>
      <c r="J643" s="35" t="n"/>
      <c r="K643" s="33" t="inlineStr">
        <is>
          <t>Added Oct 2026. Spot check before this day goes live.</t>
        </is>
      </c>
      <c r="L643" s="35">
        <f>COUNTIFS($A$2:$A$1501,A643,$D$2:$D$1501,D643)</f>
        <v/>
      </c>
    </row>
    <row r="644">
      <c r="A644" s="35" t="n">
        <v>129</v>
      </c>
      <c r="B644" s="41" t="n">
        <v>46428</v>
      </c>
      <c r="C644" s="35" t="n">
        <v>3</v>
      </c>
      <c r="D644" s="33" t="inlineStr">
        <is>
          <t>Movies, Music and Games</t>
        </is>
      </c>
      <c r="E644" s="36" t="inlineStr">
        <is>
          <t>How long is Coco?</t>
        </is>
      </c>
      <c r="F644" s="42" t="n">
        <v>105</v>
      </c>
      <c r="G644" s="33" t="inlineStr">
        <is>
          <t>minutes</t>
        </is>
      </c>
      <c r="H644" s="35" t="inlineStr">
        <is>
          <t>Medium</t>
        </is>
      </c>
      <c r="I644" s="33" t="inlineStr">
        <is>
          <t>IMDb</t>
        </is>
      </c>
      <c r="J644" s="35" t="n"/>
      <c r="K644" s="33" t="inlineStr">
        <is>
          <t>Added Oct 2026. Spot check before this day goes live.</t>
        </is>
      </c>
      <c r="L644" s="35">
        <f>COUNTIFS($A$2:$A$1501,A644,$D$2:$D$1501,D644)</f>
        <v/>
      </c>
    </row>
    <row r="645">
      <c r="A645" s="35" t="n">
        <v>129</v>
      </c>
      <c r="B645" s="41" t="n">
        <v>46428</v>
      </c>
      <c r="C645" s="35" t="n">
        <v>4</v>
      </c>
      <c r="D645" s="33" t="inlineStr">
        <is>
          <t>Canada</t>
        </is>
      </c>
      <c r="E645" s="36" t="inlineStr">
        <is>
          <t>How big is Alberta?</t>
        </is>
      </c>
      <c r="F645" s="42" t="n">
        <v>661848</v>
      </c>
      <c r="G645" s="33" t="inlineStr">
        <is>
          <t>km²</t>
        </is>
      </c>
      <c r="H645" s="35" t="inlineStr">
        <is>
          <t>Hard</t>
        </is>
      </c>
      <c r="I645" s="33" t="inlineStr">
        <is>
          <t>Statistics Canada</t>
        </is>
      </c>
      <c r="J645" s="35" t="n"/>
      <c r="K645" s="33" t="inlineStr">
        <is>
          <t>Added Oct 2026. Spot check before this day goes live.</t>
        </is>
      </c>
      <c r="L645" s="35">
        <f>COUNTIFS($A$2:$A$1501,A645,$D$2:$D$1501,D645)</f>
        <v/>
      </c>
    </row>
    <row r="646">
      <c r="A646" s="35" t="n">
        <v>129</v>
      </c>
      <c r="B646" s="41" t="n">
        <v>46428</v>
      </c>
      <c r="C646" s="35" t="n">
        <v>5</v>
      </c>
      <c r="D646" s="33" t="inlineStr">
        <is>
          <t>Distance of the Day</t>
        </is>
      </c>
      <c r="E646" s="36" t="inlineStr">
        <is>
          <t>How far is it in a straight line from Nairobi to Addis Ababa?</t>
        </is>
      </c>
      <c r="F646" s="42" t="n">
        <v>1160</v>
      </c>
      <c r="G646" s="33" t="inlineStr">
        <is>
          <t>km</t>
        </is>
      </c>
      <c r="H646" s="35" t="inlineStr">
        <is>
          <t>Easy</t>
        </is>
      </c>
      <c r="I646" s="33" t="inlineStr">
        <is>
          <t>Computed great-circle distance (city centre to city centre)</t>
        </is>
      </c>
      <c r="J646" s="35" t="n"/>
      <c r="K646" s="33" t="n"/>
      <c r="L646" s="35">
        <f>COUNTIFS($A$2:$A$1501,A646,$D$2:$D$1501,D646)</f>
        <v/>
      </c>
    </row>
    <row r="647">
      <c r="A647" s="35" t="n">
        <v>130</v>
      </c>
      <c r="B647" s="41" t="n">
        <v>46429</v>
      </c>
      <c r="C647" s="35" t="n">
        <v>1</v>
      </c>
      <c r="D647" s="33" t="inlineStr">
        <is>
          <t>Sports</t>
        </is>
      </c>
      <c r="E647" s="36" t="inlineStr">
        <is>
          <t>How many home runs did Babe Ruth hit in 1927?</t>
        </is>
      </c>
      <c r="F647" s="42" t="n">
        <v>60</v>
      </c>
      <c r="G647" s="33" t="inlineStr">
        <is>
          <t>home runs</t>
        </is>
      </c>
      <c r="H647" s="35" t="inlineStr">
        <is>
          <t>Medium</t>
        </is>
      </c>
      <c r="I647" s="33" t="inlineStr">
        <is>
          <t>MLB.com</t>
        </is>
      </c>
      <c r="J647" s="35" t="n"/>
      <c r="K647" s="33" t="inlineStr">
        <is>
          <t>Added Oct 2026. Spot check before this day goes live.</t>
        </is>
      </c>
      <c r="L647" s="35">
        <f>COUNTIFS($A$2:$A$1501,A647,$D$2:$D$1501,D647)</f>
        <v/>
      </c>
    </row>
    <row r="648">
      <c r="A648" s="35" t="n">
        <v>130</v>
      </c>
      <c r="B648" s="41" t="n">
        <v>46429</v>
      </c>
      <c r="C648" s="35" t="n">
        <v>2</v>
      </c>
      <c r="D648" s="33" t="inlineStr">
        <is>
          <t>Food and Everyday Life</t>
        </is>
      </c>
      <c r="E648" s="36" t="inlineStr">
        <is>
          <t>How long is a traditional French baguette?</t>
        </is>
      </c>
      <c r="F648" s="42" t="n">
        <v>65</v>
      </c>
      <c r="G648" s="33" t="inlineStr">
        <is>
          <t>cm</t>
        </is>
      </c>
      <c r="H648" s="35" t="inlineStr">
        <is>
          <t>Medium</t>
        </is>
      </c>
      <c r="I648" s="33" t="inlineStr">
        <is>
          <t>French bakery standard</t>
        </is>
      </c>
      <c r="J648" s="35" t="n"/>
      <c r="K648" s="33" t="inlineStr">
        <is>
          <t>Added Oct 2026. Spot check before this day goes live.</t>
        </is>
      </c>
      <c r="L648" s="35">
        <f>COUNTIFS($A$2:$A$1501,A648,$D$2:$D$1501,D648)</f>
        <v/>
      </c>
    </row>
    <row r="649">
      <c r="A649" s="35" t="n">
        <v>130</v>
      </c>
      <c r="B649" s="41" t="n">
        <v>46429</v>
      </c>
      <c r="C649" s="35" t="n">
        <v>3</v>
      </c>
      <c r="D649" s="33" t="inlineStr">
        <is>
          <t>Geography</t>
        </is>
      </c>
      <c r="E649" s="36" t="inlineStr">
        <is>
          <t>How big is the United States?</t>
        </is>
      </c>
      <c r="F649" s="42" t="n">
        <v>9833520</v>
      </c>
      <c r="G649" s="33" t="inlineStr">
        <is>
          <t>km²</t>
        </is>
      </c>
      <c r="H649" s="35" t="inlineStr">
        <is>
          <t>Hard</t>
        </is>
      </c>
      <c r="I649" s="33" t="inlineStr">
        <is>
          <t>CIA World Factbook</t>
        </is>
      </c>
      <c r="J649" s="35" t="n"/>
      <c r="K649" s="33" t="inlineStr">
        <is>
          <t>Added Oct 2026. Spot check before this day goes live.</t>
        </is>
      </c>
      <c r="L649" s="35">
        <f>COUNTIFS($A$2:$A$1501,A649,$D$2:$D$1501,D649)</f>
        <v/>
      </c>
    </row>
    <row r="650">
      <c r="A650" s="35" t="n">
        <v>130</v>
      </c>
      <c r="B650" s="41" t="n">
        <v>46429</v>
      </c>
      <c r="C650" s="35" t="n">
        <v>4</v>
      </c>
      <c r="D650" s="33" t="inlineStr">
        <is>
          <t>Animals and Nature</t>
        </is>
      </c>
      <c r="E650" s="36" t="inlineStr">
        <is>
          <t>How long can a sperm whale hold its breath?</t>
        </is>
      </c>
      <c r="F650" s="42" t="n">
        <v>90</v>
      </c>
      <c r="G650" s="33" t="inlineStr">
        <is>
          <t>minutes</t>
        </is>
      </c>
      <c r="H650" s="35" t="inlineStr">
        <is>
          <t>Hard</t>
        </is>
      </c>
      <c r="I650" s="33" t="inlineStr">
        <is>
          <t>NOAA Fisheries</t>
        </is>
      </c>
      <c r="J650" s="35" t="n"/>
      <c r="K650" s="33" t="inlineStr">
        <is>
          <t>Added Oct 2026. Spot check before this day goes live.</t>
        </is>
      </c>
      <c r="L650" s="35">
        <f>COUNTIFS($A$2:$A$1501,A650,$D$2:$D$1501,D650)</f>
        <v/>
      </c>
    </row>
    <row r="651">
      <c r="A651" s="35" t="n">
        <v>130</v>
      </c>
      <c r="B651" s="41" t="n">
        <v>46429</v>
      </c>
      <c r="C651" s="35" t="n">
        <v>5</v>
      </c>
      <c r="D651" s="33" t="inlineStr">
        <is>
          <t>Distance of the Day</t>
        </is>
      </c>
      <c r="E651" s="36" t="inlineStr">
        <is>
          <t>How far is it in a straight line from Prague to Doha?</t>
        </is>
      </c>
      <c r="F651" s="42" t="n">
        <v>4200</v>
      </c>
      <c r="G651" s="33" t="inlineStr">
        <is>
          <t>km</t>
        </is>
      </c>
      <c r="H651" s="35" t="inlineStr">
        <is>
          <t>Medium</t>
        </is>
      </c>
      <c r="I651" s="33" t="inlineStr">
        <is>
          <t>Computed great-circle distance (city centre to city centre)</t>
        </is>
      </c>
      <c r="J651" s="35" t="n"/>
      <c r="K651" s="33" t="n"/>
      <c r="L651" s="35">
        <f>COUNTIFS($A$2:$A$1501,A651,$D$2:$D$1501,D651)</f>
        <v/>
      </c>
    </row>
    <row r="652">
      <c r="A652" s="35" t="n">
        <v>131</v>
      </c>
      <c r="B652" s="41" t="n">
        <v>46430</v>
      </c>
      <c r="C652" s="35" t="n">
        <v>1</v>
      </c>
      <c r="D652" s="33" t="inlineStr">
        <is>
          <t>History</t>
        </is>
      </c>
      <c r="E652" s="36" t="inlineStr">
        <is>
          <t>How many wives did Henry VIII have?</t>
        </is>
      </c>
      <c r="F652" s="42" t="n">
        <v>6</v>
      </c>
      <c r="G652" s="33" t="inlineStr">
        <is>
          <t>wives</t>
        </is>
      </c>
      <c r="H652" s="35" t="inlineStr">
        <is>
          <t>Easy</t>
        </is>
      </c>
      <c r="I652" s="33" t="inlineStr">
        <is>
          <t>Royal Collection Trust</t>
        </is>
      </c>
      <c r="J652" s="35" t="n"/>
      <c r="K652" s="33" t="inlineStr">
        <is>
          <t>Added Oct 2026. Spot check before this day goes live.</t>
        </is>
      </c>
      <c r="L652" s="35">
        <f>COUNTIFS($A$2:$A$1501,A652,$D$2:$D$1501,D652)</f>
        <v/>
      </c>
    </row>
    <row r="653">
      <c r="A653" s="35" t="n">
        <v>131</v>
      </c>
      <c r="B653" s="41" t="n">
        <v>46430</v>
      </c>
      <c r="C653" s="35" t="n">
        <v>2</v>
      </c>
      <c r="D653" s="33" t="inlineStr">
        <is>
          <t>Space and Science</t>
        </is>
      </c>
      <c r="E653" s="36" t="inlineStr">
        <is>
          <t>What percentage of the air we breathe is nitrogen?</t>
        </is>
      </c>
      <c r="F653" s="42" t="n">
        <v>78</v>
      </c>
      <c r="G653" s="33" t="inlineStr">
        <is>
          <t>%</t>
        </is>
      </c>
      <c r="H653" s="35" t="inlineStr">
        <is>
          <t>Medium</t>
        </is>
      </c>
      <c r="I653" s="33" t="inlineStr">
        <is>
          <t>NASA</t>
        </is>
      </c>
      <c r="J653" s="35" t="n"/>
      <c r="K653" s="33" t="inlineStr">
        <is>
          <t>Added Oct 2026. Spot check before this day goes live.</t>
        </is>
      </c>
      <c r="L653" s="35">
        <f>COUNTIFS($A$2:$A$1501,A653,$D$2:$D$1501,D653)</f>
        <v/>
      </c>
    </row>
    <row r="654">
      <c r="A654" s="35" t="n">
        <v>131</v>
      </c>
      <c r="B654" s="41" t="n">
        <v>46430</v>
      </c>
      <c r="C654" s="35" t="n">
        <v>3</v>
      </c>
      <c r="D654" s="33" t="inlineStr">
        <is>
          <t>Human Body</t>
        </is>
      </c>
      <c r="E654" s="36" t="inlineStr">
        <is>
          <t>How fast does the average adult read, in words per minute?</t>
        </is>
      </c>
      <c r="F654" s="42" t="n">
        <v>238</v>
      </c>
      <c r="G654" s="33" t="inlineStr">
        <is>
          <t>words</t>
        </is>
      </c>
      <c r="H654" s="35" t="inlineStr">
        <is>
          <t>Hard</t>
        </is>
      </c>
      <c r="I654" s="33" t="inlineStr">
        <is>
          <t>Brysbaert (2019) meta-analysis</t>
        </is>
      </c>
      <c r="J654" s="35" t="n"/>
      <c r="K654" s="33" t="inlineStr">
        <is>
          <t>Added Oct 2026. Spot check before this day goes live.</t>
        </is>
      </c>
      <c r="L654" s="35">
        <f>COUNTIFS($A$2:$A$1501,A654,$D$2:$D$1501,D654)</f>
        <v/>
      </c>
    </row>
    <row r="655">
      <c r="A655" s="35" t="n">
        <v>131</v>
      </c>
      <c r="B655" s="41" t="n">
        <v>46430</v>
      </c>
      <c r="C655" s="35" t="n">
        <v>4</v>
      </c>
      <c r="D655" s="33" t="inlineStr">
        <is>
          <t>Canada</t>
        </is>
      </c>
      <c r="E655" s="36" t="inlineStr">
        <is>
          <t>How long is the Ambassador Bridge between Windsor and Detroit?</t>
        </is>
      </c>
      <c r="F655" s="42" t="n">
        <v>2286</v>
      </c>
      <c r="G655" s="33" t="inlineStr">
        <is>
          <t>metres</t>
        </is>
      </c>
      <c r="H655" s="35" t="inlineStr">
        <is>
          <t>Hard</t>
        </is>
      </c>
      <c r="I655" s="33" t="inlineStr">
        <is>
          <t>Detroit International Bridge Company</t>
        </is>
      </c>
      <c r="J655" s="35" t="n"/>
      <c r="K655" s="33" t="inlineStr">
        <is>
          <t>Added Oct 2026. Spot check before this day goes live.</t>
        </is>
      </c>
      <c r="L655" s="35">
        <f>COUNTIFS($A$2:$A$1501,A655,$D$2:$D$1501,D655)</f>
        <v/>
      </c>
    </row>
    <row r="656">
      <c r="A656" s="35" t="n">
        <v>131</v>
      </c>
      <c r="B656" s="41" t="n">
        <v>46430</v>
      </c>
      <c r="C656" s="35" t="n">
        <v>5</v>
      </c>
      <c r="D656" s="33" t="inlineStr">
        <is>
          <t>Distance of the Day</t>
        </is>
      </c>
      <c r="E656" s="36" t="inlineStr">
        <is>
          <t>How far is it in a straight line from Madrid to Manila?</t>
        </is>
      </c>
      <c r="F656" s="42" t="n">
        <v>11660</v>
      </c>
      <c r="G656" s="33" t="inlineStr">
        <is>
          <t>km</t>
        </is>
      </c>
      <c r="H656" s="35" t="inlineStr">
        <is>
          <t>Hard</t>
        </is>
      </c>
      <c r="I656" s="33" t="inlineStr">
        <is>
          <t>Computed great-circle distance (city centre to city centre)</t>
        </is>
      </c>
      <c r="J656" s="35" t="n"/>
      <c r="K656" s="33" t="n"/>
      <c r="L656" s="35">
        <f>COUNTIFS($A$2:$A$1501,A656,$D$2:$D$1501,D656)</f>
        <v/>
      </c>
    </row>
    <row r="657">
      <c r="A657" s="35" t="n">
        <v>132</v>
      </c>
      <c r="B657" s="41" t="n">
        <v>46431</v>
      </c>
      <c r="C657" s="35" t="n">
        <v>1</v>
      </c>
      <c r="D657" s="33" t="inlineStr">
        <is>
          <t>Sports</t>
        </is>
      </c>
      <c r="E657" s="36" t="inlineStr">
        <is>
          <t>How many teams are in the NBA?</t>
        </is>
      </c>
      <c r="F657" s="42" t="n">
        <v>30</v>
      </c>
      <c r="G657" s="33" t="inlineStr">
        <is>
          <t>teams</t>
        </is>
      </c>
      <c r="H657" s="35" t="inlineStr">
        <is>
          <t>Easy</t>
        </is>
      </c>
      <c r="I657" s="33" t="inlineStr">
        <is>
          <t>NBA.com</t>
        </is>
      </c>
      <c r="J657" s="35" t="n"/>
      <c r="K657" s="33" t="inlineStr">
        <is>
          <t>Added Oct 2026. Spot check before this day goes live.</t>
        </is>
      </c>
      <c r="L657" s="35">
        <f>COUNTIFS($A$2:$A$1501,A657,$D$2:$D$1501,D657)</f>
        <v/>
      </c>
    </row>
    <row r="658">
      <c r="A658" s="35" t="n">
        <v>132</v>
      </c>
      <c r="B658" s="41" t="n">
        <v>46431</v>
      </c>
      <c r="C658" s="35" t="n">
        <v>2</v>
      </c>
      <c r="D658" s="33" t="inlineStr">
        <is>
          <t>Movies, Music and Games</t>
        </is>
      </c>
      <c r="E658" s="36" t="inlineStr">
        <is>
          <t>How many dominoes are in a standard double-six set?</t>
        </is>
      </c>
      <c r="F658" s="42" t="n">
        <v>28</v>
      </c>
      <c r="G658" s="33" t="inlineStr">
        <is>
          <t>dominoes</t>
        </is>
      </c>
      <c r="H658" s="35" t="inlineStr">
        <is>
          <t>Medium</t>
        </is>
      </c>
      <c r="I658" s="33" t="inlineStr">
        <is>
          <t>Britannica</t>
        </is>
      </c>
      <c r="J658" s="35" t="n"/>
      <c r="K658" s="33" t="inlineStr">
        <is>
          <t>Added Oct 2026. Spot check before this day goes live.</t>
        </is>
      </c>
      <c r="L658" s="35">
        <f>COUNTIFS($A$2:$A$1501,A658,$D$2:$D$1501,D658)</f>
        <v/>
      </c>
    </row>
    <row r="659">
      <c r="A659" s="35" t="n">
        <v>132</v>
      </c>
      <c r="B659" s="41" t="n">
        <v>46431</v>
      </c>
      <c r="C659" s="35" t="n">
        <v>3</v>
      </c>
      <c r="D659" s="33" t="inlineStr">
        <is>
          <t>Buildings and Engineering</t>
        </is>
      </c>
      <c r="E659" s="36" t="inlineStr">
        <is>
          <t>How long is the Channel Tunnel between England and France?</t>
        </is>
      </c>
      <c r="F659" s="42" t="n">
        <v>50.5</v>
      </c>
      <c r="G659" s="33" t="inlineStr">
        <is>
          <t>km</t>
        </is>
      </c>
      <c r="H659" s="35" t="inlineStr">
        <is>
          <t>Medium</t>
        </is>
      </c>
      <c r="I659" s="33" t="inlineStr">
        <is>
          <t>Getlink</t>
        </is>
      </c>
      <c r="J659" s="35" t="n"/>
      <c r="K659" s="33" t="inlineStr">
        <is>
          <t>Added Oct 2026. Spot check before this day goes live.</t>
        </is>
      </c>
      <c r="L659" s="35">
        <f>COUNTIFS($A$2:$A$1501,A659,$D$2:$D$1501,D659)</f>
        <v/>
      </c>
    </row>
    <row r="660">
      <c r="A660" s="35" t="n">
        <v>132</v>
      </c>
      <c r="B660" s="41" t="n">
        <v>46431</v>
      </c>
      <c r="C660" s="35" t="n">
        <v>4</v>
      </c>
      <c r="D660" s="33" t="inlineStr">
        <is>
          <t>Food and Everyday Life</t>
        </is>
      </c>
      <c r="E660" s="36" t="inlineStr">
        <is>
          <t>How thick is a standard credit card?</t>
        </is>
      </c>
      <c r="F660" s="42" t="n">
        <v>0.76</v>
      </c>
      <c r="G660" s="33" t="inlineStr">
        <is>
          <t>mm</t>
        </is>
      </c>
      <c r="H660" s="35" t="inlineStr">
        <is>
          <t>Hard</t>
        </is>
      </c>
      <c r="I660" s="33" t="inlineStr">
        <is>
          <t>ISO/IEC 7810</t>
        </is>
      </c>
      <c r="J660" s="35" t="n"/>
      <c r="K660" s="33" t="inlineStr">
        <is>
          <t>Added Oct 2026. Spot check before this day goes live.</t>
        </is>
      </c>
      <c r="L660" s="35">
        <f>COUNTIFS($A$2:$A$1501,A660,$D$2:$D$1501,D660)</f>
        <v/>
      </c>
    </row>
    <row r="661">
      <c r="A661" s="35" t="n">
        <v>132</v>
      </c>
      <c r="B661" s="41" t="n">
        <v>46431</v>
      </c>
      <c r="C661" s="35" t="n">
        <v>5</v>
      </c>
      <c r="D661" s="33" t="inlineStr">
        <is>
          <t>Distance of the Day</t>
        </is>
      </c>
      <c r="E661" s="36" t="inlineStr">
        <is>
          <t>How far is it in a straight line from London, Ontario to Warsaw?</t>
        </is>
      </c>
      <c r="F661" s="42" t="n">
        <v>7080</v>
      </c>
      <c r="G661" s="33" t="inlineStr">
        <is>
          <t>km</t>
        </is>
      </c>
      <c r="H661" s="35" t="inlineStr">
        <is>
          <t>Medium</t>
        </is>
      </c>
      <c r="I661" s="33" t="inlineStr">
        <is>
          <t>Computed great-circle distance (city centre to city centre)</t>
        </is>
      </c>
      <c r="J661" s="35" t="n"/>
      <c r="K661" s="33" t="n"/>
      <c r="L661" s="35">
        <f>COUNTIFS($A$2:$A$1501,A661,$D$2:$D$1501,D661)</f>
        <v/>
      </c>
    </row>
    <row r="662">
      <c r="A662" s="35" t="n">
        <v>133</v>
      </c>
      <c r="B662" s="41" t="n">
        <v>46432</v>
      </c>
      <c r="C662" s="35" t="n">
        <v>1</v>
      </c>
      <c r="D662" s="33" t="inlineStr">
        <is>
          <t>Canada</t>
        </is>
      </c>
      <c r="E662" s="36" t="inlineStr">
        <is>
          <t>How long is the Trans Canada Trail?</t>
        </is>
      </c>
      <c r="F662" s="42" t="n">
        <v>28000</v>
      </c>
      <c r="G662" s="33" t="inlineStr">
        <is>
          <t>km</t>
        </is>
      </c>
      <c r="H662" s="35" t="inlineStr">
        <is>
          <t>Medium</t>
        </is>
      </c>
      <c r="I662" s="33" t="inlineStr">
        <is>
          <t>Trans Canada Trail</t>
        </is>
      </c>
      <c r="J662" s="35" t="n"/>
      <c r="K662" s="33" t="inlineStr">
        <is>
          <t>Added Oct 2026. Spot check before this day goes live.</t>
        </is>
      </c>
      <c r="L662" s="35">
        <f>COUNTIFS($A$2:$A$1501,A662,$D$2:$D$1501,D662)</f>
        <v/>
      </c>
    </row>
    <row r="663">
      <c r="A663" s="35" t="n">
        <v>133</v>
      </c>
      <c r="B663" s="41" t="n">
        <v>46432</v>
      </c>
      <c r="C663" s="35" t="n">
        <v>2</v>
      </c>
      <c r="D663" s="33" t="inlineStr">
        <is>
          <t>Space and Science</t>
        </is>
      </c>
      <c r="E663" s="36" t="inlineStr">
        <is>
          <t>How many Earth days long is a year on Venus?</t>
        </is>
      </c>
      <c r="F663" s="42" t="n">
        <v>225</v>
      </c>
      <c r="G663" s="33" t="inlineStr">
        <is>
          <t>days</t>
        </is>
      </c>
      <c r="H663" s="35" t="inlineStr">
        <is>
          <t>Medium</t>
        </is>
      </c>
      <c r="I663" s="33" t="inlineStr">
        <is>
          <t>NASA</t>
        </is>
      </c>
      <c r="J663" s="35" t="n"/>
      <c r="K663" s="33" t="inlineStr">
        <is>
          <t>Added Oct 2026. Spot check before this day goes live.</t>
        </is>
      </c>
      <c r="L663" s="35">
        <f>COUNTIFS($A$2:$A$1501,A663,$D$2:$D$1501,D663)</f>
        <v/>
      </c>
    </row>
    <row r="664">
      <c r="A664" s="35" t="n">
        <v>133</v>
      </c>
      <c r="B664" s="41" t="n">
        <v>46432</v>
      </c>
      <c r="C664" s="35" t="n">
        <v>3</v>
      </c>
      <c r="D664" s="33" t="inlineStr">
        <is>
          <t>History</t>
        </is>
      </c>
      <c r="E664" s="36" t="inlineStr">
        <is>
          <t>How many years in total was Mackenzie King prime minister, the longest of any Canadian PM?</t>
        </is>
      </c>
      <c r="F664" s="42" t="n">
        <v>21</v>
      </c>
      <c r="G664" s="33" t="inlineStr">
        <is>
          <t>years</t>
        </is>
      </c>
      <c r="H664" s="35" t="inlineStr">
        <is>
          <t>Hard</t>
        </is>
      </c>
      <c r="I664" s="33" t="inlineStr">
        <is>
          <t>Library of Parliament</t>
        </is>
      </c>
      <c r="J664" s="35" t="n"/>
      <c r="K664" s="33" t="inlineStr">
        <is>
          <t>Added Oct 2026. Spot check before this day goes live.</t>
        </is>
      </c>
      <c r="L664" s="35">
        <f>COUNTIFS($A$2:$A$1501,A664,$D$2:$D$1501,D664)</f>
        <v/>
      </c>
    </row>
    <row r="665">
      <c r="A665" s="35" t="n">
        <v>133</v>
      </c>
      <c r="B665" s="41" t="n">
        <v>46432</v>
      </c>
      <c r="C665" s="35" t="n">
        <v>4</v>
      </c>
      <c r="D665" s="33" t="inlineStr">
        <is>
          <t>Geography</t>
        </is>
      </c>
      <c r="E665" s="36" t="inlineStr">
        <is>
          <t>How deep is Lake Superior at its deepest?</t>
        </is>
      </c>
      <c r="F665" s="42" t="n">
        <v>406</v>
      </c>
      <c r="G665" s="33" t="inlineStr">
        <is>
          <t>metres</t>
        </is>
      </c>
      <c r="H665" s="35" t="inlineStr">
        <is>
          <t>Hard</t>
        </is>
      </c>
      <c r="I665" s="33" t="inlineStr">
        <is>
          <t>NOAA Great Lakes</t>
        </is>
      </c>
      <c r="J665" s="35" t="n"/>
      <c r="K665" s="33" t="inlineStr">
        <is>
          <t>Added Oct 2026. Spot check before this day goes live.</t>
        </is>
      </c>
      <c r="L665" s="35">
        <f>COUNTIFS($A$2:$A$1501,A665,$D$2:$D$1501,D665)</f>
        <v/>
      </c>
    </row>
    <row r="666">
      <c r="A666" s="35" t="n">
        <v>133</v>
      </c>
      <c r="B666" s="41" t="n">
        <v>46432</v>
      </c>
      <c r="C666" s="35" t="n">
        <v>5</v>
      </c>
      <c r="D666" s="33" t="inlineStr">
        <is>
          <t>Distance of the Day</t>
        </is>
      </c>
      <c r="E666" s="36" t="inlineStr">
        <is>
          <t>How far is it in a straight line from Riyadh to Doha?</t>
        </is>
      </c>
      <c r="F666" s="42" t="n">
        <v>490</v>
      </c>
      <c r="G666" s="33" t="inlineStr">
        <is>
          <t>km</t>
        </is>
      </c>
      <c r="H666" s="35" t="inlineStr">
        <is>
          <t>Easy</t>
        </is>
      </c>
      <c r="I666" s="33" t="inlineStr">
        <is>
          <t>Computed great-circle distance (city centre to city centre)</t>
        </is>
      </c>
      <c r="J666" s="35" t="n"/>
      <c r="K666" s="33" t="n"/>
      <c r="L666" s="35">
        <f>COUNTIFS($A$2:$A$1501,A666,$D$2:$D$1501,D666)</f>
        <v/>
      </c>
    </row>
    <row r="667">
      <c r="A667" s="35" t="n">
        <v>134</v>
      </c>
      <c r="B667" s="41" t="n">
        <v>46433</v>
      </c>
      <c r="C667" s="35" t="n">
        <v>1</v>
      </c>
      <c r="D667" s="33" t="inlineStr">
        <is>
          <t>Sports</t>
        </is>
      </c>
      <c r="E667" s="36" t="inlineStr">
        <is>
          <t>How many Super Bowls did Tom Brady win?</t>
        </is>
      </c>
      <c r="F667" s="42" t="n">
        <v>7</v>
      </c>
      <c r="G667" s="33" t="inlineStr">
        <is>
          <t>Super Bowls</t>
        </is>
      </c>
      <c r="H667" s="35" t="inlineStr">
        <is>
          <t>Easy</t>
        </is>
      </c>
      <c r="I667" s="33" t="inlineStr">
        <is>
          <t>NFL.com</t>
        </is>
      </c>
      <c r="J667" s="35" t="n"/>
      <c r="K667" s="33" t="inlineStr">
        <is>
          <t>Added Oct 2026. Spot check before this day goes live.</t>
        </is>
      </c>
      <c r="L667" s="35">
        <f>COUNTIFS($A$2:$A$1501,A667,$D$2:$D$1501,D667)</f>
        <v/>
      </c>
    </row>
    <row r="668">
      <c r="A668" s="35" t="n">
        <v>134</v>
      </c>
      <c r="B668" s="41" t="n">
        <v>46433</v>
      </c>
      <c r="C668" s="35" t="n">
        <v>2</v>
      </c>
      <c r="D668" s="33" t="inlineStr">
        <is>
          <t>Movies, Music and Games</t>
        </is>
      </c>
      <c r="E668" s="36" t="inlineStr">
        <is>
          <t>How long is Pixar's Up?</t>
        </is>
      </c>
      <c r="F668" s="42" t="n">
        <v>96</v>
      </c>
      <c r="G668" s="33" t="inlineStr">
        <is>
          <t>minutes</t>
        </is>
      </c>
      <c r="H668" s="35" t="inlineStr">
        <is>
          <t>Medium</t>
        </is>
      </c>
      <c r="I668" s="33" t="inlineStr">
        <is>
          <t>IMDb</t>
        </is>
      </c>
      <c r="J668" s="35" t="n"/>
      <c r="K668" s="33" t="inlineStr">
        <is>
          <t>Added Oct 2026. Spot check before this day goes live.</t>
        </is>
      </c>
      <c r="L668" s="35">
        <f>COUNTIFS($A$2:$A$1501,A668,$D$2:$D$1501,D668)</f>
        <v/>
      </c>
    </row>
    <row r="669">
      <c r="A669" s="35" t="n">
        <v>134</v>
      </c>
      <c r="B669" s="41" t="n">
        <v>46433</v>
      </c>
      <c r="C669" s="35" t="n">
        <v>3</v>
      </c>
      <c r="D669" s="33" t="inlineStr">
        <is>
          <t>Food and Everyday Life</t>
        </is>
      </c>
      <c r="E669" s="36" t="inlineStr">
        <is>
          <t>How cold should a fridge be, at most?</t>
        </is>
      </c>
      <c r="F669" s="42" t="n">
        <v>4</v>
      </c>
      <c r="G669" s="33" t="inlineStr">
        <is>
          <t>°C</t>
        </is>
      </c>
      <c r="H669" s="35" t="inlineStr">
        <is>
          <t>Medium</t>
        </is>
      </c>
      <c r="I669" s="33" t="inlineStr">
        <is>
          <t>Health Canada</t>
        </is>
      </c>
      <c r="J669" s="35" t="n"/>
      <c r="K669" s="33" t="inlineStr">
        <is>
          <t>Added Oct 2026. Spot check before this day goes live.</t>
        </is>
      </c>
      <c r="L669" s="35">
        <f>COUNTIFS($A$2:$A$1501,A669,$D$2:$D$1501,D669)</f>
        <v/>
      </c>
    </row>
    <row r="670">
      <c r="A670" s="35" t="n">
        <v>134</v>
      </c>
      <c r="B670" s="41" t="n">
        <v>46433</v>
      </c>
      <c r="C670" s="35" t="n">
        <v>4</v>
      </c>
      <c r="D670" s="33" t="inlineStr">
        <is>
          <t>Human Body</t>
        </is>
      </c>
      <c r="E670" s="36" t="inlineStr">
        <is>
          <t>How many muscles does it take to move the human eye?</t>
        </is>
      </c>
      <c r="F670" s="42" t="n">
        <v>6</v>
      </c>
      <c r="G670" s="33" t="inlineStr">
        <is>
          <t>muscles</t>
        </is>
      </c>
      <c r="H670" s="35" t="inlineStr">
        <is>
          <t>Hard</t>
        </is>
      </c>
      <c r="I670" s="33" t="inlineStr">
        <is>
          <t>American Academy of Ophthalmology</t>
        </is>
      </c>
      <c r="J670" s="35" t="n"/>
      <c r="K670" s="33" t="inlineStr">
        <is>
          <t>Added Oct 2026. Spot check before this day goes live.</t>
        </is>
      </c>
      <c r="L670" s="35">
        <f>COUNTIFS($A$2:$A$1501,A670,$D$2:$D$1501,D670)</f>
        <v/>
      </c>
    </row>
    <row r="671">
      <c r="A671" s="35" t="n">
        <v>134</v>
      </c>
      <c r="B671" s="41" t="n">
        <v>46433</v>
      </c>
      <c r="C671" s="35" t="n">
        <v>5</v>
      </c>
      <c r="D671" s="33" t="inlineStr">
        <is>
          <t>Distance of the Day</t>
        </is>
      </c>
      <c r="E671" s="36" t="inlineStr">
        <is>
          <t>How far is it in a straight line from Hamilton to London?</t>
        </is>
      </c>
      <c r="F671" s="42" t="n">
        <v>5770</v>
      </c>
      <c r="G671" s="33" t="inlineStr">
        <is>
          <t>km</t>
        </is>
      </c>
      <c r="H671" s="35" t="inlineStr">
        <is>
          <t>Medium</t>
        </is>
      </c>
      <c r="I671" s="33" t="inlineStr">
        <is>
          <t>Computed great-circle distance (city centre to city centre)</t>
        </is>
      </c>
      <c r="J671" s="35" t="n"/>
      <c r="K671" s="33" t="n"/>
      <c r="L671" s="35">
        <f>COUNTIFS($A$2:$A$1501,A671,$D$2:$D$1501,D671)</f>
        <v/>
      </c>
    </row>
    <row r="672">
      <c r="A672" s="35" t="n">
        <v>135</v>
      </c>
      <c r="B672" s="41" t="n">
        <v>46434</v>
      </c>
      <c r="C672" s="35" t="n">
        <v>1</v>
      </c>
      <c r="D672" s="33" t="inlineStr">
        <is>
          <t>Animals and Nature</t>
        </is>
      </c>
      <c r="E672" s="36" t="inlineStr">
        <is>
          <t>How many arms does a typical starfish have?</t>
        </is>
      </c>
      <c r="F672" s="42" t="n">
        <v>5</v>
      </c>
      <c r="G672" s="33" t="inlineStr">
        <is>
          <t>arms</t>
        </is>
      </c>
      <c r="H672" s="35" t="inlineStr">
        <is>
          <t>Easy</t>
        </is>
      </c>
      <c r="I672" s="33" t="inlineStr">
        <is>
          <t>NOAA</t>
        </is>
      </c>
      <c r="J672" s="35" t="n"/>
      <c r="K672" s="33" t="inlineStr">
        <is>
          <t>Added Oct 2026. Spot check before this day goes live.</t>
        </is>
      </c>
      <c r="L672" s="35">
        <f>COUNTIFS($A$2:$A$1501,A672,$D$2:$D$1501,D672)</f>
        <v/>
      </c>
    </row>
    <row r="673">
      <c r="A673" s="35" t="n">
        <v>135</v>
      </c>
      <c r="B673" s="41" t="n">
        <v>46434</v>
      </c>
      <c r="C673" s="35" t="n">
        <v>2</v>
      </c>
      <c r="D673" s="33" t="inlineStr">
        <is>
          <t>Buildings and Engineering</t>
        </is>
      </c>
      <c r="E673" s="36" t="inlineStr">
        <is>
          <t>How tall is the Ain Dubai, the world's largest Ferris wheel?</t>
        </is>
      </c>
      <c r="F673" s="42" t="n">
        <v>250</v>
      </c>
      <c r="G673" s="33" t="inlineStr">
        <is>
          <t>metres</t>
        </is>
      </c>
      <c r="H673" s="35" t="inlineStr">
        <is>
          <t>Medium</t>
        </is>
      </c>
      <c r="I673" s="33" t="inlineStr">
        <is>
          <t>Guinness World Records</t>
        </is>
      </c>
      <c r="J673" s="35" t="n"/>
      <c r="K673" s="33" t="inlineStr">
        <is>
          <t>Added Oct 2026. Spot check before this day goes live.</t>
        </is>
      </c>
      <c r="L673" s="35">
        <f>COUNTIFS($A$2:$A$1501,A673,$D$2:$D$1501,D673)</f>
        <v/>
      </c>
    </row>
    <row r="674">
      <c r="A674" s="35" t="n">
        <v>135</v>
      </c>
      <c r="B674" s="41" t="n">
        <v>46434</v>
      </c>
      <c r="C674" s="35" t="n">
        <v>3</v>
      </c>
      <c r="D674" s="33" t="inlineStr">
        <is>
          <t>Geography</t>
        </is>
      </c>
      <c r="E674" s="36" t="inlineStr">
        <is>
          <t>How big is Lake Titicaca?</t>
        </is>
      </c>
      <c r="F674" s="42" t="n">
        <v>8372</v>
      </c>
      <c r="G674" s="33" t="inlineStr">
        <is>
          <t>km²</t>
        </is>
      </c>
      <c r="H674" s="35" t="inlineStr">
        <is>
          <t>Hard</t>
        </is>
      </c>
      <c r="I674" s="33" t="inlineStr">
        <is>
          <t>Britannica</t>
        </is>
      </c>
      <c r="J674" s="35" t="n"/>
      <c r="K674" s="33" t="inlineStr">
        <is>
          <t>Added Oct 2026. Spot check before this day goes live.</t>
        </is>
      </c>
      <c r="L674" s="35">
        <f>COUNTIFS($A$2:$A$1501,A674,$D$2:$D$1501,D674)</f>
        <v/>
      </c>
    </row>
    <row r="675">
      <c r="A675" s="35" t="n">
        <v>135</v>
      </c>
      <c r="B675" s="41" t="n">
        <v>46434</v>
      </c>
      <c r="C675" s="35" t="n">
        <v>4</v>
      </c>
      <c r="D675" s="33" t="inlineStr">
        <is>
          <t>History</t>
        </is>
      </c>
      <c r="E675" s="36" t="inlineStr">
        <is>
          <t>How many years did the Ottoman Empire last?</t>
        </is>
      </c>
      <c r="F675" s="42" t="n">
        <v>623</v>
      </c>
      <c r="G675" s="33" t="inlineStr">
        <is>
          <t>years</t>
        </is>
      </c>
      <c r="H675" s="35" t="inlineStr">
        <is>
          <t>Hard</t>
        </is>
      </c>
      <c r="I675" s="33" t="inlineStr">
        <is>
          <t>Britannica</t>
        </is>
      </c>
      <c r="J675" s="35" t="n"/>
      <c r="K675" s="33" t="inlineStr">
        <is>
          <t>Added Oct 2026. Spot check before this day goes live.</t>
        </is>
      </c>
      <c r="L675" s="35">
        <f>COUNTIFS($A$2:$A$1501,A675,$D$2:$D$1501,D675)</f>
        <v/>
      </c>
    </row>
    <row r="676">
      <c r="A676" s="35" t="n">
        <v>135</v>
      </c>
      <c r="B676" s="41" t="n">
        <v>46434</v>
      </c>
      <c r="C676" s="35" t="n">
        <v>5</v>
      </c>
      <c r="D676" s="33" t="inlineStr">
        <is>
          <t>Distance of the Day</t>
        </is>
      </c>
      <c r="E676" s="36" t="inlineStr">
        <is>
          <t>How far is it in a straight line from Charlottetown to Bangkok?</t>
        </is>
      </c>
      <c r="F676" s="42" t="n">
        <v>13150</v>
      </c>
      <c r="G676" s="33" t="inlineStr">
        <is>
          <t>km</t>
        </is>
      </c>
      <c r="H676" s="35" t="inlineStr">
        <is>
          <t>Hard</t>
        </is>
      </c>
      <c r="I676" s="33" t="inlineStr">
        <is>
          <t>Computed great-circle distance (city centre to city centre)</t>
        </is>
      </c>
      <c r="J676" s="35" t="n"/>
      <c r="K676" s="33" t="n"/>
      <c r="L676" s="35">
        <f>COUNTIFS($A$2:$A$1501,A676,$D$2:$D$1501,D676)</f>
        <v/>
      </c>
    </row>
    <row r="677">
      <c r="A677" s="35" t="n">
        <v>136</v>
      </c>
      <c r="B677" s="41" t="n">
        <v>46435</v>
      </c>
      <c r="C677" s="35" t="n">
        <v>1</v>
      </c>
      <c r="D677" s="33" t="inlineStr">
        <is>
          <t>Sports</t>
        </is>
      </c>
      <c r="E677" s="36" t="inlineStr">
        <is>
          <t>How fast was Usain Bolt's top running speed?</t>
        </is>
      </c>
      <c r="F677" s="42" t="n">
        <v>44.7</v>
      </c>
      <c r="G677" s="33" t="inlineStr">
        <is>
          <t>km/h</t>
        </is>
      </c>
      <c r="H677" s="35" t="inlineStr">
        <is>
          <t>Medium</t>
        </is>
      </c>
      <c r="I677" s="33" t="inlineStr">
        <is>
          <t>World Athletics biomechanics report</t>
        </is>
      </c>
      <c r="J677" s="35" t="n"/>
      <c r="K677" s="33" t="inlineStr">
        <is>
          <t>Added Oct 2026. Spot check before this day goes live.</t>
        </is>
      </c>
      <c r="L677" s="35">
        <f>COUNTIFS($A$2:$A$1501,A677,$D$2:$D$1501,D677)</f>
        <v/>
      </c>
    </row>
    <row r="678">
      <c r="A678" s="35" t="n">
        <v>136</v>
      </c>
      <c r="B678" s="41" t="n">
        <v>46435</v>
      </c>
      <c r="C678" s="35" t="n">
        <v>2</v>
      </c>
      <c r="D678" s="33" t="inlineStr">
        <is>
          <t>Food and Everyday Life</t>
        </is>
      </c>
      <c r="E678" s="36" t="inlineStr">
        <is>
          <t>How much caffeine is in a 240 mL cup of brewed coffee?</t>
        </is>
      </c>
      <c r="F678" s="42" t="n">
        <v>95</v>
      </c>
      <c r="G678" s="33" t="inlineStr">
        <is>
          <t>mg</t>
        </is>
      </c>
      <c r="H678" s="35" t="inlineStr">
        <is>
          <t>Medium</t>
        </is>
      </c>
      <c r="I678" s="33" t="inlineStr">
        <is>
          <t>USDA FoodData Central</t>
        </is>
      </c>
      <c r="J678" s="35" t="n"/>
      <c r="K678" s="33" t="inlineStr">
        <is>
          <t>Added Oct 2026. Spot check before this day goes live.</t>
        </is>
      </c>
      <c r="L678" s="35">
        <f>COUNTIFS($A$2:$A$1501,A678,$D$2:$D$1501,D678)</f>
        <v/>
      </c>
    </row>
    <row r="679">
      <c r="A679" s="35" t="n">
        <v>136</v>
      </c>
      <c r="B679" s="41" t="n">
        <v>46435</v>
      </c>
      <c r="C679" s="35" t="n">
        <v>3</v>
      </c>
      <c r="D679" s="33" t="inlineStr">
        <is>
          <t>Human Body</t>
        </is>
      </c>
      <c r="E679" s="36" t="inlineStr">
        <is>
          <t>How many alveoli (air sacs) are in your lungs?</t>
        </is>
      </c>
      <c r="F679" s="42" t="n">
        <v>480</v>
      </c>
      <c r="G679" s="33" t="inlineStr">
        <is>
          <t>million</t>
        </is>
      </c>
      <c r="H679" s="35" t="inlineStr">
        <is>
          <t>Hard</t>
        </is>
      </c>
      <c r="I679" s="33" t="inlineStr">
        <is>
          <t>American Journal of Respiratory and Critical Care Medicine</t>
        </is>
      </c>
      <c r="J679" s="35" t="n"/>
      <c r="K679" s="33" t="inlineStr">
        <is>
          <t>Added Oct 2026. Spot check before this day goes live.</t>
        </is>
      </c>
      <c r="L679" s="35">
        <f>COUNTIFS($A$2:$A$1501,A679,$D$2:$D$1501,D679)</f>
        <v/>
      </c>
    </row>
    <row r="680">
      <c r="A680" s="35" t="n">
        <v>136</v>
      </c>
      <c r="B680" s="41" t="n">
        <v>46435</v>
      </c>
      <c r="C680" s="35" t="n">
        <v>4</v>
      </c>
      <c r="D680" s="33" t="inlineStr">
        <is>
          <t>Movies, Music and Games</t>
        </is>
      </c>
      <c r="E680" s="36" t="inlineStr">
        <is>
          <t>How many episodes of Lost were made?</t>
        </is>
      </c>
      <c r="F680" s="42" t="n">
        <v>121</v>
      </c>
      <c r="G680" s="33" t="inlineStr">
        <is>
          <t>episodes</t>
        </is>
      </c>
      <c r="H680" s="35" t="inlineStr">
        <is>
          <t>Hard</t>
        </is>
      </c>
      <c r="I680" s="33" t="inlineStr">
        <is>
          <t>ABC</t>
        </is>
      </c>
      <c r="J680" s="35" t="n"/>
      <c r="K680" s="33" t="inlineStr">
        <is>
          <t>Added Oct 2026. Spot check before this day goes live.</t>
        </is>
      </c>
      <c r="L680" s="35">
        <f>COUNTIFS($A$2:$A$1501,A680,$D$2:$D$1501,D680)</f>
        <v/>
      </c>
    </row>
    <row r="681">
      <c r="A681" s="35" t="n">
        <v>136</v>
      </c>
      <c r="B681" s="41" t="n">
        <v>46435</v>
      </c>
      <c r="C681" s="35" t="n">
        <v>5</v>
      </c>
      <c r="D681" s="33" t="inlineStr">
        <is>
          <t>Distance of the Day</t>
        </is>
      </c>
      <c r="E681" s="36" t="inlineStr">
        <is>
          <t>How far is it in a straight line from Buenos Aires to Santiago?</t>
        </is>
      </c>
      <c r="F681" s="42" t="n">
        <v>1140</v>
      </c>
      <c r="G681" s="33" t="inlineStr">
        <is>
          <t>km</t>
        </is>
      </c>
      <c r="H681" s="35" t="inlineStr">
        <is>
          <t>Easy</t>
        </is>
      </c>
      <c r="I681" s="33" t="inlineStr">
        <is>
          <t>Computed great-circle distance (city centre to city centre)</t>
        </is>
      </c>
      <c r="J681" s="35" t="n"/>
      <c r="K681" s="33" t="n"/>
      <c r="L681" s="35">
        <f>COUNTIFS($A$2:$A$1501,A681,$D$2:$D$1501,D681)</f>
        <v/>
      </c>
    </row>
    <row r="682">
      <c r="A682" s="35" t="n">
        <v>137</v>
      </c>
      <c r="B682" s="41" t="n">
        <v>46436</v>
      </c>
      <c r="C682" s="35" t="n">
        <v>1</v>
      </c>
      <c r="D682" s="33" t="inlineStr">
        <is>
          <t>Canada</t>
        </is>
      </c>
      <c r="E682" s="36" t="inlineStr">
        <is>
          <t>How many official languages does Canada have?</t>
        </is>
      </c>
      <c r="F682" s="42" t="n">
        <v>2</v>
      </c>
      <c r="G682" s="33" t="inlineStr">
        <is>
          <t>languages</t>
        </is>
      </c>
      <c r="H682" s="35" t="inlineStr">
        <is>
          <t>Easy</t>
        </is>
      </c>
      <c r="I682" s="33" t="inlineStr">
        <is>
          <t>Government of Canada</t>
        </is>
      </c>
      <c r="J682" s="35" t="n"/>
      <c r="K682" s="33" t="inlineStr">
        <is>
          <t>Added Oct 2026. Spot check before this day goes live.</t>
        </is>
      </c>
      <c r="L682" s="35">
        <f>COUNTIFS($A$2:$A$1501,A682,$D$2:$D$1501,D682)</f>
        <v/>
      </c>
    </row>
    <row r="683">
      <c r="A683" s="35" t="n">
        <v>137</v>
      </c>
      <c r="B683" s="41" t="n">
        <v>46436</v>
      </c>
      <c r="C683" s="35" t="n">
        <v>2</v>
      </c>
      <c r="D683" s="33" t="inlineStr">
        <is>
          <t>Buildings and Engineering</t>
        </is>
      </c>
      <c r="E683" s="36" t="inlineStr">
        <is>
          <t>How tall is the Statue of Unity in India, the world's tallest statue?</t>
        </is>
      </c>
      <c r="F683" s="42" t="n">
        <v>182</v>
      </c>
      <c r="G683" s="33" t="inlineStr">
        <is>
          <t>metres</t>
        </is>
      </c>
      <c r="H683" s="35" t="inlineStr">
        <is>
          <t>Medium</t>
        </is>
      </c>
      <c r="I683" s="33" t="inlineStr">
        <is>
          <t>Guinness World Records</t>
        </is>
      </c>
      <c r="J683" s="35" t="n"/>
      <c r="K683" s="33" t="inlineStr">
        <is>
          <t>Added Oct 2026. Spot check before this day goes live.</t>
        </is>
      </c>
      <c r="L683" s="35">
        <f>COUNTIFS($A$2:$A$1501,A683,$D$2:$D$1501,D683)</f>
        <v/>
      </c>
    </row>
    <row r="684">
      <c r="A684" s="35" t="n">
        <v>137</v>
      </c>
      <c r="B684" s="41" t="n">
        <v>46436</v>
      </c>
      <c r="C684" s="35" t="n">
        <v>3</v>
      </c>
      <c r="D684" s="33" t="inlineStr">
        <is>
          <t>Space and Science</t>
        </is>
      </c>
      <c r="E684" s="36" t="inlineStr">
        <is>
          <t>How long is the International Space Station, end to end?</t>
        </is>
      </c>
      <c r="F684" s="42" t="n">
        <v>109</v>
      </c>
      <c r="G684" s="33" t="inlineStr">
        <is>
          <t>metres</t>
        </is>
      </c>
      <c r="H684" s="35" t="inlineStr">
        <is>
          <t>Medium</t>
        </is>
      </c>
      <c r="I684" s="33" t="inlineStr">
        <is>
          <t>NASA</t>
        </is>
      </c>
      <c r="J684" s="35" t="n"/>
      <c r="K684" s="33" t="inlineStr">
        <is>
          <t>Added Oct 2026. Spot check before this day goes live.</t>
        </is>
      </c>
      <c r="L684" s="35">
        <f>COUNTIFS($A$2:$A$1501,A684,$D$2:$D$1501,D684)</f>
        <v/>
      </c>
    </row>
    <row r="685">
      <c r="A685" s="35" t="n">
        <v>137</v>
      </c>
      <c r="B685" s="41" t="n">
        <v>46436</v>
      </c>
      <c r="C685" s="35" t="n">
        <v>4</v>
      </c>
      <c r="D685" s="33" t="inlineStr">
        <is>
          <t>Animals and Nature</t>
        </is>
      </c>
      <c r="E685" s="36" t="inlineStr">
        <is>
          <t>How wide can a giant Amazon water lily leaf grow?</t>
        </is>
      </c>
      <c r="F685" s="42" t="n">
        <v>3</v>
      </c>
      <c r="G685" s="33" t="inlineStr">
        <is>
          <t>metres</t>
        </is>
      </c>
      <c r="H685" s="35" t="inlineStr">
        <is>
          <t>Hard</t>
        </is>
      </c>
      <c r="I685" s="33" t="inlineStr">
        <is>
          <t>Kew Gardens</t>
        </is>
      </c>
      <c r="J685" s="35" t="n"/>
      <c r="K685" s="33" t="inlineStr">
        <is>
          <t>Added Oct 2026. Spot check before this day goes live.</t>
        </is>
      </c>
      <c r="L685" s="35">
        <f>COUNTIFS($A$2:$A$1501,A685,$D$2:$D$1501,D685)</f>
        <v/>
      </c>
    </row>
    <row r="686">
      <c r="A686" s="35" t="n">
        <v>137</v>
      </c>
      <c r="B686" s="41" t="n">
        <v>46436</v>
      </c>
      <c r="C686" s="35" t="n">
        <v>5</v>
      </c>
      <c r="D686" s="33" t="inlineStr">
        <is>
          <t>Distance of the Day</t>
        </is>
      </c>
      <c r="E686" s="36" t="inlineStr">
        <is>
          <t>How far is it in a straight line from Halifax to Detroit?</t>
        </is>
      </c>
      <c r="F686" s="42" t="n">
        <v>1590</v>
      </c>
      <c r="G686" s="33" t="inlineStr">
        <is>
          <t>km</t>
        </is>
      </c>
      <c r="H686" s="35" t="inlineStr">
        <is>
          <t>Medium</t>
        </is>
      </c>
      <c r="I686" s="33" t="inlineStr">
        <is>
          <t>Computed great-circle distance (city centre to city centre)</t>
        </is>
      </c>
      <c r="J686" s="35" t="n"/>
      <c r="K686" s="33" t="n"/>
      <c r="L686" s="35">
        <f>COUNTIFS($A$2:$A$1501,A686,$D$2:$D$1501,D686)</f>
        <v/>
      </c>
    </row>
    <row r="687">
      <c r="A687" s="35" t="n">
        <v>138</v>
      </c>
      <c r="B687" s="41" t="n">
        <v>46437</v>
      </c>
      <c r="C687" s="35" t="n">
        <v>1</v>
      </c>
      <c r="D687" s="33" t="inlineStr">
        <is>
          <t>Sports</t>
        </is>
      </c>
      <c r="E687" s="36" t="inlineStr">
        <is>
          <t>How many overs per side are in a one-day international cricket match?</t>
        </is>
      </c>
      <c r="F687" s="42" t="n">
        <v>50</v>
      </c>
      <c r="G687" s="33" t="inlineStr">
        <is>
          <t>overs</t>
        </is>
      </c>
      <c r="H687" s="35" t="inlineStr">
        <is>
          <t>Easy</t>
        </is>
      </c>
      <c r="I687" s="33" t="inlineStr">
        <is>
          <t>ICC</t>
        </is>
      </c>
      <c r="J687" s="35" t="n"/>
      <c r="K687" s="33" t="inlineStr">
        <is>
          <t>Added Oct 2026. Spot check before this day goes live.</t>
        </is>
      </c>
      <c r="L687" s="35">
        <f>COUNTIFS($A$2:$A$1501,A687,$D$2:$D$1501,D687)</f>
        <v/>
      </c>
    </row>
    <row r="688">
      <c r="A688" s="35" t="n">
        <v>138</v>
      </c>
      <c r="B688" s="41" t="n">
        <v>46437</v>
      </c>
      <c r="C688" s="35" t="n">
        <v>2</v>
      </c>
      <c r="D688" s="33" t="inlineStr">
        <is>
          <t>History</t>
        </is>
      </c>
      <c r="E688" s="36" t="inlineStr">
        <is>
          <t>How many days did Gandhi's Salt March take?</t>
        </is>
      </c>
      <c r="F688" s="42" t="n">
        <v>24</v>
      </c>
      <c r="G688" s="33" t="inlineStr">
        <is>
          <t>days</t>
        </is>
      </c>
      <c r="H688" s="35" t="inlineStr">
        <is>
          <t>Medium</t>
        </is>
      </c>
      <c r="I688" s="33" t="inlineStr">
        <is>
          <t>Britannica</t>
        </is>
      </c>
      <c r="J688" s="35" t="n"/>
      <c r="K688" s="33" t="inlineStr">
        <is>
          <t>Added Oct 2026. Spot check before this day goes live.</t>
        </is>
      </c>
      <c r="L688" s="35">
        <f>COUNTIFS($A$2:$A$1501,A688,$D$2:$D$1501,D688)</f>
        <v/>
      </c>
    </row>
    <row r="689">
      <c r="A689" s="35" t="n">
        <v>138</v>
      </c>
      <c r="B689" s="41" t="n">
        <v>46437</v>
      </c>
      <c r="C689" s="35" t="n">
        <v>3</v>
      </c>
      <c r="D689" s="33" t="inlineStr">
        <is>
          <t>Geography</t>
        </is>
      </c>
      <c r="E689" s="36" t="inlineStr">
        <is>
          <t>How big is the Gobi Desert?</t>
        </is>
      </c>
      <c r="F689" s="42" t="n">
        <v>1295000</v>
      </c>
      <c r="G689" s="33" t="inlineStr">
        <is>
          <t>km²</t>
        </is>
      </c>
      <c r="H689" s="35" t="inlineStr">
        <is>
          <t>Hard</t>
        </is>
      </c>
      <c r="I689" s="33" t="inlineStr">
        <is>
          <t>Britannica</t>
        </is>
      </c>
      <c r="J689" s="35" t="n"/>
      <c r="K689" s="33" t="inlineStr">
        <is>
          <t>Added Oct 2026. Spot check before this day goes live.</t>
        </is>
      </c>
      <c r="L689" s="35">
        <f>COUNTIFS($A$2:$A$1501,A689,$D$2:$D$1501,D689)</f>
        <v/>
      </c>
    </row>
    <row r="690">
      <c r="A690" s="35" t="n">
        <v>138</v>
      </c>
      <c r="B690" s="41" t="n">
        <v>46437</v>
      </c>
      <c r="C690" s="35" t="n">
        <v>4</v>
      </c>
      <c r="D690" s="33" t="inlineStr">
        <is>
          <t>Food and Everyday Life</t>
        </is>
      </c>
      <c r="E690" s="36" t="inlineStr">
        <is>
          <t>How much caffeine is in a 355 mL can of Coca-Cola?</t>
        </is>
      </c>
      <c r="F690" s="42" t="n">
        <v>34</v>
      </c>
      <c r="G690" s="33" t="inlineStr">
        <is>
          <t>mg</t>
        </is>
      </c>
      <c r="H690" s="35" t="inlineStr">
        <is>
          <t>Hard</t>
        </is>
      </c>
      <c r="I690" s="33" t="inlineStr">
        <is>
          <t>Coca-Cola</t>
        </is>
      </c>
      <c r="J690" s="35" t="n"/>
      <c r="K690" s="33" t="inlineStr">
        <is>
          <t>Added Oct 2026. Spot check before this day goes live.</t>
        </is>
      </c>
      <c r="L690" s="35">
        <f>COUNTIFS($A$2:$A$1501,A690,$D$2:$D$1501,D690)</f>
        <v/>
      </c>
    </row>
    <row r="691">
      <c r="A691" s="35" t="n">
        <v>138</v>
      </c>
      <c r="B691" s="41" t="n">
        <v>46437</v>
      </c>
      <c r="C691" s="35" t="n">
        <v>5</v>
      </c>
      <c r="D691" s="33" t="inlineStr">
        <is>
          <t>Distance of the Day</t>
        </is>
      </c>
      <c r="E691" s="36" t="inlineStr">
        <is>
          <t>How far is it in a straight line from St. John's to Anchorage?</t>
        </is>
      </c>
      <c r="F691" s="42" t="n">
        <v>5860</v>
      </c>
      <c r="G691" s="33" t="inlineStr">
        <is>
          <t>km</t>
        </is>
      </c>
      <c r="H691" s="35" t="inlineStr">
        <is>
          <t>Medium</t>
        </is>
      </c>
      <c r="I691" s="33" t="inlineStr">
        <is>
          <t>Computed great-circle distance (city centre to city centre)</t>
        </is>
      </c>
      <c r="J691" s="35" t="n"/>
      <c r="K691" s="33" t="n"/>
      <c r="L691" s="35">
        <f>COUNTIFS($A$2:$A$1501,A691,$D$2:$D$1501,D691)</f>
        <v/>
      </c>
    </row>
    <row r="692">
      <c r="A692" s="35" t="n">
        <v>139</v>
      </c>
      <c r="B692" s="41" t="n">
        <v>46438</v>
      </c>
      <c r="C692" s="35" t="n">
        <v>1</v>
      </c>
      <c r="D692" s="33" t="inlineStr">
        <is>
          <t>Canada</t>
        </is>
      </c>
      <c r="E692" s="36" t="inlineStr">
        <is>
          <t>How many provinces and territories does Canada have?</t>
        </is>
      </c>
      <c r="F692" s="42" t="n">
        <v>13</v>
      </c>
      <c r="G692" s="33" t="inlineStr">
        <is>
          <t>provinces and territories</t>
        </is>
      </c>
      <c r="H692" s="35" t="inlineStr">
        <is>
          <t>Easy</t>
        </is>
      </c>
      <c r="I692" s="33" t="inlineStr">
        <is>
          <t>Government of Canada</t>
        </is>
      </c>
      <c r="J692" s="35" t="n"/>
      <c r="K692" s="33" t="inlineStr">
        <is>
          <t>Added Oct 2026. Spot check before this day goes live.</t>
        </is>
      </c>
      <c r="L692" s="35">
        <f>COUNTIFS($A$2:$A$1501,A692,$D$2:$D$1501,D692)</f>
        <v/>
      </c>
    </row>
    <row r="693">
      <c r="A693" s="35" t="n">
        <v>139</v>
      </c>
      <c r="B693" s="41" t="n">
        <v>46438</v>
      </c>
      <c r="C693" s="35" t="n">
        <v>2</v>
      </c>
      <c r="D693" s="33" t="inlineStr">
        <is>
          <t>Buildings and Engineering</t>
        </is>
      </c>
      <c r="E693" s="36" t="inlineStr">
        <is>
          <t>How tall is the Tokyo Skytree?</t>
        </is>
      </c>
      <c r="F693" s="42" t="n">
        <v>634</v>
      </c>
      <c r="G693" s="33" t="inlineStr">
        <is>
          <t>metres</t>
        </is>
      </c>
      <c r="H693" s="35" t="inlineStr">
        <is>
          <t>Medium</t>
        </is>
      </c>
      <c r="I693" s="33" t="inlineStr">
        <is>
          <t>Tokyo Skytree</t>
        </is>
      </c>
      <c r="J693" s="35" t="n"/>
      <c r="K693" s="33" t="inlineStr">
        <is>
          <t>Added Oct 2026. Spot check before this day goes live.</t>
        </is>
      </c>
      <c r="L693" s="35">
        <f>COUNTIFS($A$2:$A$1501,A693,$D$2:$D$1501,D693)</f>
        <v/>
      </c>
    </row>
    <row r="694">
      <c r="A694" s="35" t="n">
        <v>139</v>
      </c>
      <c r="B694" s="41" t="n">
        <v>46438</v>
      </c>
      <c r="C694" s="35" t="n">
        <v>3</v>
      </c>
      <c r="D694" s="33" t="inlineStr">
        <is>
          <t>Movies, Music and Games</t>
        </is>
      </c>
      <c r="E694" s="36" t="inlineStr">
        <is>
          <t>How long is Taylor Swift's All Too Well (10 Minute Version)?</t>
        </is>
      </c>
      <c r="F694" s="42" t="n">
        <v>613</v>
      </c>
      <c r="G694" s="33" t="inlineStr">
        <is>
          <t>seconds</t>
        </is>
      </c>
      <c r="H694" s="35" t="inlineStr">
        <is>
          <t>Medium</t>
        </is>
      </c>
      <c r="I694" s="33" t="inlineStr">
        <is>
          <t>Republic Records</t>
        </is>
      </c>
      <c r="J694" s="35" t="n"/>
      <c r="K694" s="33" t="inlineStr">
        <is>
          <t>Added Oct 2026. Spot check before this day goes live.</t>
        </is>
      </c>
      <c r="L694" s="35">
        <f>COUNTIFS($A$2:$A$1501,A694,$D$2:$D$1501,D694)</f>
        <v/>
      </c>
    </row>
    <row r="695">
      <c r="A695" s="35" t="n">
        <v>139</v>
      </c>
      <c r="B695" s="41" t="n">
        <v>46438</v>
      </c>
      <c r="C695" s="35" t="n">
        <v>4</v>
      </c>
      <c r="D695" s="33" t="inlineStr">
        <is>
          <t>Animals and Nature</t>
        </is>
      </c>
      <c r="E695" s="36" t="inlineStr">
        <is>
          <t>How many species of octopus are there?</t>
        </is>
      </c>
      <c r="F695" s="42" t="n">
        <v>300</v>
      </c>
      <c r="G695" s="33" t="inlineStr">
        <is>
          <t>species</t>
        </is>
      </c>
      <c r="H695" s="35" t="inlineStr">
        <is>
          <t>Hard</t>
        </is>
      </c>
      <c r="I695" s="33" t="inlineStr">
        <is>
          <t>Smithsonian</t>
        </is>
      </c>
      <c r="J695" s="35" t="n"/>
      <c r="K695" s="33" t="inlineStr">
        <is>
          <t>Added Oct 2026. Spot check before this day goes live.</t>
        </is>
      </c>
      <c r="L695" s="35">
        <f>COUNTIFS($A$2:$A$1501,A695,$D$2:$D$1501,D695)</f>
        <v/>
      </c>
    </row>
    <row r="696">
      <c r="A696" s="35" t="n">
        <v>139</v>
      </c>
      <c r="B696" s="41" t="n">
        <v>46438</v>
      </c>
      <c r="C696" s="35" t="n">
        <v>5</v>
      </c>
      <c r="D696" s="33" t="inlineStr">
        <is>
          <t>Distance of the Day</t>
        </is>
      </c>
      <c r="E696" s="36" t="inlineStr">
        <is>
          <t>How far is it in a straight line from Quebec City to Mumbai?</t>
        </is>
      </c>
      <c r="F696" s="42" t="n">
        <v>11850</v>
      </c>
      <c r="G696" s="33" t="inlineStr">
        <is>
          <t>km</t>
        </is>
      </c>
      <c r="H696" s="35" t="inlineStr">
        <is>
          <t>Hard</t>
        </is>
      </c>
      <c r="I696" s="33" t="inlineStr">
        <is>
          <t>Computed great-circle distance (city centre to city centre)</t>
        </is>
      </c>
      <c r="J696" s="35" t="n"/>
      <c r="K696" s="33" t="n"/>
      <c r="L696" s="35">
        <f>COUNTIFS($A$2:$A$1501,A696,$D$2:$D$1501,D696)</f>
        <v/>
      </c>
    </row>
    <row r="697">
      <c r="A697" s="35" t="n">
        <v>140</v>
      </c>
      <c r="B697" s="41" t="n">
        <v>46439</v>
      </c>
      <c r="C697" s="35" t="n">
        <v>1</v>
      </c>
      <c r="D697" s="33" t="inlineStr">
        <is>
          <t>Sports</t>
        </is>
      </c>
      <c r="E697" s="36" t="inlineStr">
        <is>
          <t>How many people does Wembley Stadium seat?</t>
        </is>
      </c>
      <c r="F697" s="42" t="n">
        <v>90000</v>
      </c>
      <c r="G697" s="33" t="inlineStr">
        <is>
          <t>seats</t>
        </is>
      </c>
      <c r="H697" s="35" t="inlineStr">
        <is>
          <t>Medium</t>
        </is>
      </c>
      <c r="I697" s="33" t="inlineStr">
        <is>
          <t>Wembley Stadium</t>
        </is>
      </c>
      <c r="J697" s="35" t="n"/>
      <c r="K697" s="33" t="inlineStr">
        <is>
          <t>Added Oct 2026. Spot check before this day goes live.</t>
        </is>
      </c>
      <c r="L697" s="35">
        <f>COUNTIFS($A$2:$A$1501,A697,$D$2:$D$1501,D697)</f>
        <v/>
      </c>
    </row>
    <row r="698">
      <c r="A698" s="35" t="n">
        <v>140</v>
      </c>
      <c r="B698" s="41" t="n">
        <v>46439</v>
      </c>
      <c r="C698" s="35" t="n">
        <v>2</v>
      </c>
      <c r="D698" s="33" t="inlineStr">
        <is>
          <t>Human Body</t>
        </is>
      </c>
      <c r="E698" s="36" t="inlineStr">
        <is>
          <t>What is a healthy top number for blood pressure?</t>
        </is>
      </c>
      <c r="F698" s="42" t="n">
        <v>120</v>
      </c>
      <c r="G698" s="33" t="inlineStr">
        <is>
          <t>mmHg</t>
        </is>
      </c>
      <c r="H698" s="35" t="inlineStr">
        <is>
          <t>Medium</t>
        </is>
      </c>
      <c r="I698" s="33" t="inlineStr">
        <is>
          <t>Heart and Stroke Foundation</t>
        </is>
      </c>
      <c r="J698" s="35" t="n"/>
      <c r="K698" s="33" t="inlineStr">
        <is>
          <t>Added Oct 2026. Spot check before this day goes live.</t>
        </is>
      </c>
      <c r="L698" s="35">
        <f>COUNTIFS($A$2:$A$1501,A698,$D$2:$D$1501,D698)</f>
        <v/>
      </c>
    </row>
    <row r="699">
      <c r="A699" s="35" t="n">
        <v>140</v>
      </c>
      <c r="B699" s="41" t="n">
        <v>46439</v>
      </c>
      <c r="C699" s="35" t="n">
        <v>3</v>
      </c>
      <c r="D699" s="33" t="inlineStr">
        <is>
          <t>Space and Science</t>
        </is>
      </c>
      <c r="E699" s="36" t="inlineStr">
        <is>
          <t>How heavy is the International Space Station?</t>
        </is>
      </c>
      <c r="F699" s="42" t="n">
        <v>420</v>
      </c>
      <c r="G699" s="33" t="inlineStr">
        <is>
          <t>tonnes</t>
        </is>
      </c>
      <c r="H699" s="35" t="inlineStr">
        <is>
          <t>Hard</t>
        </is>
      </c>
      <c r="I699" s="33" t="inlineStr">
        <is>
          <t>NASA</t>
        </is>
      </c>
      <c r="J699" s="35" t="n"/>
      <c r="K699" s="33" t="inlineStr">
        <is>
          <t>Added Oct 2026. Spot check before this day goes live.</t>
        </is>
      </c>
      <c r="L699" s="35">
        <f>COUNTIFS($A$2:$A$1501,A699,$D$2:$D$1501,D699)</f>
        <v/>
      </c>
    </row>
    <row r="700">
      <c r="A700" s="35" t="n">
        <v>140</v>
      </c>
      <c r="B700" s="41" t="n">
        <v>46439</v>
      </c>
      <c r="C700" s="35" t="n">
        <v>4</v>
      </c>
      <c r="D700" s="33" t="inlineStr">
        <is>
          <t>History</t>
        </is>
      </c>
      <c r="E700" s="36" t="inlineStr">
        <is>
          <t>How many years did the Colossus of Rhodes stand before an earthquake toppled it?</t>
        </is>
      </c>
      <c r="F700" s="42" t="n">
        <v>54</v>
      </c>
      <c r="G700" s="33" t="inlineStr">
        <is>
          <t>years</t>
        </is>
      </c>
      <c r="H700" s="35" t="inlineStr">
        <is>
          <t>Hard</t>
        </is>
      </c>
      <c r="I700" s="33" t="inlineStr">
        <is>
          <t>Britannica</t>
        </is>
      </c>
      <c r="J700" s="35" t="n"/>
      <c r="K700" s="33" t="inlineStr">
        <is>
          <t>Added Oct 2026. Spot check before this day goes live.</t>
        </is>
      </c>
      <c r="L700" s="35">
        <f>COUNTIFS($A$2:$A$1501,A700,$D$2:$D$1501,D700)</f>
        <v/>
      </c>
    </row>
    <row r="701">
      <c r="A701" s="35" t="n">
        <v>140</v>
      </c>
      <c r="B701" s="41" t="n">
        <v>46439</v>
      </c>
      <c r="C701" s="35" t="n">
        <v>5</v>
      </c>
      <c r="D701" s="33" t="inlineStr">
        <is>
          <t>Distance of the Day</t>
        </is>
      </c>
      <c r="E701" s="36" t="inlineStr">
        <is>
          <t>How far is it in a straight line from Las Vegas to Phoenix?</t>
        </is>
      </c>
      <c r="F701" s="42" t="n">
        <v>410</v>
      </c>
      <c r="G701" s="33" t="inlineStr">
        <is>
          <t>km</t>
        </is>
      </c>
      <c r="H701" s="35" t="inlineStr">
        <is>
          <t>Easy</t>
        </is>
      </c>
      <c r="I701" s="33" t="inlineStr">
        <is>
          <t>Computed great-circle distance (city centre to city centre)</t>
        </is>
      </c>
      <c r="J701" s="35" t="n"/>
      <c r="K701" s="33" t="n"/>
      <c r="L701" s="35">
        <f>COUNTIFS($A$2:$A$1501,A701,$D$2:$D$1501,D701)</f>
        <v/>
      </c>
    </row>
    <row r="702">
      <c r="A702" s="35" t="n">
        <v>141</v>
      </c>
      <c r="B702" s="41" t="n">
        <v>46440</v>
      </c>
      <c r="C702" s="35" t="n">
        <v>1</v>
      </c>
      <c r="D702" s="33" t="inlineStr">
        <is>
          <t>Geography</t>
        </is>
      </c>
      <c r="E702" s="36" t="inlineStr">
        <is>
          <t>How many oceans are officially recognized today?</t>
        </is>
      </c>
      <c r="F702" s="42" t="n">
        <v>5</v>
      </c>
      <c r="G702" s="33" t="inlineStr">
        <is>
          <t>oceans</t>
        </is>
      </c>
      <c r="H702" s="35" t="inlineStr">
        <is>
          <t>Easy</t>
        </is>
      </c>
      <c r="I702" s="33" t="inlineStr">
        <is>
          <t>NOAA</t>
        </is>
      </c>
      <c r="J702" s="35" t="n"/>
      <c r="K702" s="33" t="inlineStr">
        <is>
          <t>Added Oct 2026. Spot check before this day goes live.</t>
        </is>
      </c>
      <c r="L702" s="35">
        <f>COUNTIFS($A$2:$A$1501,A702,$D$2:$D$1501,D702)</f>
        <v/>
      </c>
    </row>
    <row r="703">
      <c r="A703" s="35" t="n">
        <v>141</v>
      </c>
      <c r="B703" s="41" t="n">
        <v>46440</v>
      </c>
      <c r="C703" s="35" t="n">
        <v>2</v>
      </c>
      <c r="D703" s="33" t="inlineStr">
        <is>
          <t>Buildings and Engineering</t>
        </is>
      </c>
      <c r="E703" s="36" t="inlineStr">
        <is>
          <t>How many stairs lead to the top of the Leaning Tower of Pisa?</t>
        </is>
      </c>
      <c r="F703" s="42" t="n">
        <v>294</v>
      </c>
      <c r="G703" s="33" t="inlineStr">
        <is>
          <t>steps</t>
        </is>
      </c>
      <c r="H703" s="35" t="inlineStr">
        <is>
          <t>Medium</t>
        </is>
      </c>
      <c r="I703" s="33" t="inlineStr">
        <is>
          <t>Opera della Primaziale Pisana</t>
        </is>
      </c>
      <c r="J703" s="35" t="n"/>
      <c r="K703" s="33" t="inlineStr">
        <is>
          <t>Added Oct 2026. Spot check before this day goes live.</t>
        </is>
      </c>
      <c r="L703" s="35">
        <f>COUNTIFS($A$2:$A$1501,A703,$D$2:$D$1501,D703)</f>
        <v/>
      </c>
    </row>
    <row r="704">
      <c r="A704" s="35" t="n">
        <v>141</v>
      </c>
      <c r="B704" s="41" t="n">
        <v>46440</v>
      </c>
      <c r="C704" s="35" t="n">
        <v>3</v>
      </c>
      <c r="D704" s="33" t="inlineStr">
        <is>
          <t>Food and Everyday Life</t>
        </is>
      </c>
      <c r="E704" s="36" t="inlineStr">
        <is>
          <t>How wide is a king-size bed in North America?</t>
        </is>
      </c>
      <c r="F704" s="42" t="n">
        <v>193</v>
      </c>
      <c r="G704" s="33" t="inlineStr">
        <is>
          <t>cm</t>
        </is>
      </c>
      <c r="H704" s="35" t="inlineStr">
        <is>
          <t>Medium</t>
        </is>
      </c>
      <c r="I704" s="33" t="inlineStr">
        <is>
          <t>Canadian Sleep Products Association</t>
        </is>
      </c>
      <c r="J704" s="35" t="n"/>
      <c r="K704" s="33" t="inlineStr">
        <is>
          <t>Added Oct 2026. Spot check before this day goes live.</t>
        </is>
      </c>
      <c r="L704" s="35">
        <f>COUNTIFS($A$2:$A$1501,A704,$D$2:$D$1501,D704)</f>
        <v/>
      </c>
    </row>
    <row r="705">
      <c r="A705" s="35" t="n">
        <v>141</v>
      </c>
      <c r="B705" s="41" t="n">
        <v>46440</v>
      </c>
      <c r="C705" s="35" t="n">
        <v>4</v>
      </c>
      <c r="D705" s="33" t="inlineStr">
        <is>
          <t>Animals and Nature</t>
        </is>
      </c>
      <c r="E705" s="36" t="inlineStr">
        <is>
          <t>How many species of mammals are there?</t>
        </is>
      </c>
      <c r="F705" s="42" t="n">
        <v>6500</v>
      </c>
      <c r="G705" s="33" t="inlineStr">
        <is>
          <t>species</t>
        </is>
      </c>
      <c r="H705" s="35" t="inlineStr">
        <is>
          <t>Hard</t>
        </is>
      </c>
      <c r="I705" s="33" t="inlineStr">
        <is>
          <t>American Society of Mammalogists</t>
        </is>
      </c>
      <c r="J705" s="35" t="n"/>
      <c r="K705" s="33" t="inlineStr">
        <is>
          <t>Added Oct 2026. Spot check before this day goes live.</t>
        </is>
      </c>
      <c r="L705" s="35">
        <f>COUNTIFS($A$2:$A$1501,A705,$D$2:$D$1501,D705)</f>
        <v/>
      </c>
    </row>
    <row r="706">
      <c r="A706" s="35" t="n">
        <v>141</v>
      </c>
      <c r="B706" s="41" t="n">
        <v>46440</v>
      </c>
      <c r="C706" s="35" t="n">
        <v>5</v>
      </c>
      <c r="D706" s="33" t="inlineStr">
        <is>
          <t>Distance of the Day</t>
        </is>
      </c>
      <c r="E706" s="36" t="inlineStr">
        <is>
          <t>How far is it in a straight line from St. John's to Jerusalem?</t>
        </is>
      </c>
      <c r="F706" s="42" t="n">
        <v>7320</v>
      </c>
      <c r="G706" s="33" t="inlineStr">
        <is>
          <t>km</t>
        </is>
      </c>
      <c r="H706" s="35" t="inlineStr">
        <is>
          <t>Medium</t>
        </is>
      </c>
      <c r="I706" s="33" t="inlineStr">
        <is>
          <t>Computed great-circle distance (city centre to city centre)</t>
        </is>
      </c>
      <c r="J706" s="35" t="n"/>
      <c r="K706" s="33" t="n"/>
      <c r="L706" s="35">
        <f>COUNTIFS($A$2:$A$1501,A706,$D$2:$D$1501,D706)</f>
        <v/>
      </c>
    </row>
    <row r="707">
      <c r="A707" s="35" t="n">
        <v>142</v>
      </c>
      <c r="B707" s="41" t="n">
        <v>46441</v>
      </c>
      <c r="C707" s="35" t="n">
        <v>1</v>
      </c>
      <c r="D707" s="33" t="inlineStr">
        <is>
          <t>Sports</t>
        </is>
      </c>
      <c r="E707" s="36" t="inlineStr">
        <is>
          <t>How many players does each NHL team have on the ice, including the goalie?</t>
        </is>
      </c>
      <c r="F707" s="42" t="n">
        <v>6</v>
      </c>
      <c r="G707" s="33" t="inlineStr">
        <is>
          <t>players</t>
        </is>
      </c>
      <c r="H707" s="35" t="inlineStr">
        <is>
          <t>Easy</t>
        </is>
      </c>
      <c r="I707" s="33" t="inlineStr">
        <is>
          <t>NHL rulebook</t>
        </is>
      </c>
      <c r="J707" s="35" t="n"/>
      <c r="K707" s="33" t="inlineStr">
        <is>
          <t>Added Oct 2026. Spot check before this day goes live.</t>
        </is>
      </c>
      <c r="L707" s="35">
        <f>COUNTIFS($A$2:$A$1501,A707,$D$2:$D$1501,D707)</f>
        <v/>
      </c>
    </row>
    <row r="708">
      <c r="A708" s="35" t="n">
        <v>142</v>
      </c>
      <c r="B708" s="41" t="n">
        <v>46441</v>
      </c>
      <c r="C708" s="35" t="n">
        <v>2</v>
      </c>
      <c r="D708" s="33" t="inlineStr">
        <is>
          <t>Space and Science</t>
        </is>
      </c>
      <c r="E708" s="36" t="inlineStr">
        <is>
          <t>How fast do you need to go to escape Earth's gravity?</t>
        </is>
      </c>
      <c r="F708" s="42" t="n">
        <v>11.2</v>
      </c>
      <c r="G708" s="33" t="inlineStr">
        <is>
          <t>km per second</t>
        </is>
      </c>
      <c r="H708" s="35" t="inlineStr">
        <is>
          <t>Medium</t>
        </is>
      </c>
      <c r="I708" s="33" t="inlineStr">
        <is>
          <t>NASA</t>
        </is>
      </c>
      <c r="J708" s="35" t="n"/>
      <c r="K708" s="33" t="inlineStr">
        <is>
          <t>Added Oct 2026. Spot check before this day goes live.</t>
        </is>
      </c>
      <c r="L708" s="35">
        <f>COUNTIFS($A$2:$A$1501,A708,$D$2:$D$1501,D708)</f>
        <v/>
      </c>
    </row>
    <row r="709">
      <c r="A709" s="35" t="n">
        <v>142</v>
      </c>
      <c r="B709" s="41" t="n">
        <v>46441</v>
      </c>
      <c r="C709" s="35" t="n">
        <v>3</v>
      </c>
      <c r="D709" s="33" t="inlineStr">
        <is>
          <t>Movies, Music and Games</t>
        </is>
      </c>
      <c r="E709" s="36" t="inlineStr">
        <is>
          <t>How long is Michael Jackson's Thriller album?</t>
        </is>
      </c>
      <c r="F709" s="42" t="n">
        <v>42</v>
      </c>
      <c r="G709" s="33" t="inlineStr">
        <is>
          <t>minutes</t>
        </is>
      </c>
      <c r="H709" s="35" t="inlineStr">
        <is>
          <t>Hard</t>
        </is>
      </c>
      <c r="I709" s="33" t="inlineStr">
        <is>
          <t>Epic Records</t>
        </is>
      </c>
      <c r="J709" s="35" t="n"/>
      <c r="K709" s="33" t="inlineStr">
        <is>
          <t>Added Oct 2026. Spot check before this day goes live.</t>
        </is>
      </c>
      <c r="L709" s="35">
        <f>COUNTIFS($A$2:$A$1501,A709,$D$2:$D$1501,D709)</f>
        <v/>
      </c>
    </row>
    <row r="710">
      <c r="A710" s="35" t="n">
        <v>142</v>
      </c>
      <c r="B710" s="41" t="n">
        <v>46441</v>
      </c>
      <c r="C710" s="35" t="n">
        <v>4</v>
      </c>
      <c r="D710" s="33" t="inlineStr">
        <is>
          <t>Canada</t>
        </is>
      </c>
      <c r="E710" s="36" t="inlineStr">
        <is>
          <t>How long is the Yukon River?</t>
        </is>
      </c>
      <c r="F710" s="42" t="n">
        <v>3190</v>
      </c>
      <c r="G710" s="33" t="inlineStr">
        <is>
          <t>km</t>
        </is>
      </c>
      <c r="H710" s="35" t="inlineStr">
        <is>
          <t>Hard</t>
        </is>
      </c>
      <c r="I710" s="33" t="inlineStr">
        <is>
          <t>Government of Yukon</t>
        </is>
      </c>
      <c r="J710" s="35" t="n"/>
      <c r="K710" s="33" t="inlineStr">
        <is>
          <t>Added Oct 2026. Spot check before this day goes live.</t>
        </is>
      </c>
      <c r="L710" s="35">
        <f>COUNTIFS($A$2:$A$1501,A710,$D$2:$D$1501,D710)</f>
        <v/>
      </c>
    </row>
    <row r="711">
      <c r="A711" s="35" t="n">
        <v>142</v>
      </c>
      <c r="B711" s="41" t="n">
        <v>46441</v>
      </c>
      <c r="C711" s="35" t="n">
        <v>5</v>
      </c>
      <c r="D711" s="33" t="inlineStr">
        <is>
          <t>Distance of the Day</t>
        </is>
      </c>
      <c r="E711" s="36" t="inlineStr">
        <is>
          <t>How far is it in a straight line from Iqaluit to Riyadh?</t>
        </is>
      </c>
      <c r="F711" s="42" t="n">
        <v>8700</v>
      </c>
      <c r="G711" s="33" t="inlineStr">
        <is>
          <t>km</t>
        </is>
      </c>
      <c r="H711" s="35" t="inlineStr">
        <is>
          <t>Hard</t>
        </is>
      </c>
      <c r="I711" s="33" t="inlineStr">
        <is>
          <t>Computed great-circle distance (city centre to city centre)</t>
        </is>
      </c>
      <c r="J711" s="35" t="n"/>
      <c r="K711" s="33" t="n"/>
      <c r="L711" s="35">
        <f>COUNTIFS($A$2:$A$1501,A711,$D$2:$D$1501,D711)</f>
        <v/>
      </c>
    </row>
    <row r="712">
      <c r="A712" s="35" t="n">
        <v>143</v>
      </c>
      <c r="B712" s="41" t="n">
        <v>46442</v>
      </c>
      <c r="C712" s="35" t="n">
        <v>1</v>
      </c>
      <c r="D712" s="33" t="inlineStr">
        <is>
          <t>Human Body</t>
        </is>
      </c>
      <c r="E712" s="36" t="inlineStr">
        <is>
          <t>How heavy is the adult liver?</t>
        </is>
      </c>
      <c r="F712" s="42" t="n">
        <v>1.5</v>
      </c>
      <c r="G712" s="33" t="inlineStr">
        <is>
          <t>kg</t>
        </is>
      </c>
      <c r="H712" s="35" t="inlineStr">
        <is>
          <t>Medium</t>
        </is>
      </c>
      <c r="I712" s="33" t="inlineStr">
        <is>
          <t>Cleveland Clinic</t>
        </is>
      </c>
      <c r="J712" s="35" t="n"/>
      <c r="K712" s="33" t="inlineStr">
        <is>
          <t>Added Oct 2026. Spot check before this day goes live.</t>
        </is>
      </c>
      <c r="L712" s="35">
        <f>COUNTIFS($A$2:$A$1501,A712,$D$2:$D$1501,D712)</f>
        <v/>
      </c>
    </row>
    <row r="713">
      <c r="A713" s="35" t="n">
        <v>143</v>
      </c>
      <c r="B713" s="41" t="n">
        <v>46442</v>
      </c>
      <c r="C713" s="35" t="n">
        <v>2</v>
      </c>
      <c r="D713" s="33" t="inlineStr">
        <is>
          <t>History</t>
        </is>
      </c>
      <c r="E713" s="36" t="inlineStr">
        <is>
          <t>How many theses did Martin Luther famously post?</t>
        </is>
      </c>
      <c r="F713" s="42" t="n">
        <v>95</v>
      </c>
      <c r="G713" s="33" t="inlineStr">
        <is>
          <t>theses</t>
        </is>
      </c>
      <c r="H713" s="35" t="inlineStr">
        <is>
          <t>Medium</t>
        </is>
      </c>
      <c r="I713" s="33" t="inlineStr">
        <is>
          <t>Britannica</t>
        </is>
      </c>
      <c r="J713" s="35" t="n"/>
      <c r="K713" s="33" t="inlineStr">
        <is>
          <t>Added Oct 2026. Spot check before this day goes live.</t>
        </is>
      </c>
      <c r="L713" s="35">
        <f>COUNTIFS($A$2:$A$1501,A713,$D$2:$D$1501,D713)</f>
        <v/>
      </c>
    </row>
    <row r="714">
      <c r="A714" s="35" t="n">
        <v>143</v>
      </c>
      <c r="B714" s="41" t="n">
        <v>46442</v>
      </c>
      <c r="C714" s="35" t="n">
        <v>3</v>
      </c>
      <c r="D714" s="33" t="inlineStr">
        <is>
          <t>Food and Everyday Life</t>
        </is>
      </c>
      <c r="E714" s="36" t="inlineStr">
        <is>
          <t>How many cups of coffee does the world drink every day?</t>
        </is>
      </c>
      <c r="F714" s="42" t="n">
        <v>2.25</v>
      </c>
      <c r="G714" s="33" t="inlineStr">
        <is>
          <t>billion cups</t>
        </is>
      </c>
      <c r="H714" s="35" t="inlineStr">
        <is>
          <t>Hard</t>
        </is>
      </c>
      <c r="I714" s="33" t="inlineStr">
        <is>
          <t>International Coffee Organization</t>
        </is>
      </c>
      <c r="J714" s="35" t="n"/>
      <c r="K714" s="33" t="inlineStr">
        <is>
          <t>Added Oct 2026. Spot check before this day goes live.</t>
        </is>
      </c>
      <c r="L714" s="35">
        <f>COUNTIFS($A$2:$A$1501,A714,$D$2:$D$1501,D714)</f>
        <v/>
      </c>
    </row>
    <row r="715">
      <c r="A715" s="35" t="n">
        <v>143</v>
      </c>
      <c r="B715" s="41" t="n">
        <v>46442</v>
      </c>
      <c r="C715" s="35" t="n">
        <v>4</v>
      </c>
      <c r="D715" s="33" t="inlineStr">
        <is>
          <t>Geography</t>
        </is>
      </c>
      <c r="E715" s="36" t="inlineStr">
        <is>
          <t>How tall is Aoraki / Mount Cook, New Zealand's highest mountain?</t>
        </is>
      </c>
      <c r="F715" s="42" t="n">
        <v>3724</v>
      </c>
      <c r="G715" s="33" t="inlineStr">
        <is>
          <t>metres</t>
        </is>
      </c>
      <c r="H715" s="35" t="inlineStr">
        <is>
          <t>Hard</t>
        </is>
      </c>
      <c r="I715" s="33" t="inlineStr">
        <is>
          <t>Land Information New Zealand</t>
        </is>
      </c>
      <c r="J715" s="35" t="n"/>
      <c r="K715" s="33" t="inlineStr">
        <is>
          <t>Added Oct 2026. Spot check before this day goes live.</t>
        </is>
      </c>
      <c r="L715" s="35">
        <f>COUNTIFS($A$2:$A$1501,A715,$D$2:$D$1501,D715)</f>
        <v/>
      </c>
    </row>
    <row r="716">
      <c r="A716" s="35" t="n">
        <v>143</v>
      </c>
      <c r="B716" s="41" t="n">
        <v>46442</v>
      </c>
      <c r="C716" s="35" t="n">
        <v>5</v>
      </c>
      <c r="D716" s="33" t="inlineStr">
        <is>
          <t>Distance of the Day</t>
        </is>
      </c>
      <c r="E716" s="36" t="inlineStr">
        <is>
          <t>How far is it in a straight line from Lisbon to Prague?</t>
        </is>
      </c>
      <c r="F716" s="42" t="n">
        <v>2240</v>
      </c>
      <c r="G716" s="33" t="inlineStr">
        <is>
          <t>km</t>
        </is>
      </c>
      <c r="H716" s="35" t="inlineStr">
        <is>
          <t>Medium</t>
        </is>
      </c>
      <c r="I716" s="33" t="inlineStr">
        <is>
          <t>Computed great-circle distance (city centre to city centre)</t>
        </is>
      </c>
      <c r="J716" s="35" t="n"/>
      <c r="K716" s="33" t="n"/>
      <c r="L716" s="35">
        <f>COUNTIFS($A$2:$A$1501,A716,$D$2:$D$1501,D716)</f>
        <v/>
      </c>
    </row>
    <row r="717">
      <c r="A717" s="35" t="n">
        <v>144</v>
      </c>
      <c r="B717" s="41" t="n">
        <v>46443</v>
      </c>
      <c r="C717" s="35" t="n">
        <v>1</v>
      </c>
      <c r="D717" s="33" t="inlineStr">
        <is>
          <t>Sports</t>
        </is>
      </c>
      <c r="E717" s="36" t="inlineStr">
        <is>
          <t>How many teams play in the English Premier League?</t>
        </is>
      </c>
      <c r="F717" s="42" t="n">
        <v>20</v>
      </c>
      <c r="G717" s="33" t="inlineStr">
        <is>
          <t>teams</t>
        </is>
      </c>
      <c r="H717" s="35" t="inlineStr">
        <is>
          <t>Easy</t>
        </is>
      </c>
      <c r="I717" s="33" t="inlineStr">
        <is>
          <t>Premier League</t>
        </is>
      </c>
      <c r="J717" s="35" t="n"/>
      <c r="K717" s="33" t="inlineStr">
        <is>
          <t>Added Oct 2026. Spot check before this day goes live.</t>
        </is>
      </c>
      <c r="L717" s="35">
        <f>COUNTIFS($A$2:$A$1501,A717,$D$2:$D$1501,D717)</f>
        <v/>
      </c>
    </row>
    <row r="718">
      <c r="A718" s="35" t="n">
        <v>144</v>
      </c>
      <c r="B718" s="41" t="n">
        <v>46443</v>
      </c>
      <c r="C718" s="35" t="n">
        <v>2</v>
      </c>
      <c r="D718" s="33" t="inlineStr">
        <is>
          <t>Buildings and Engineering</t>
        </is>
      </c>
      <c r="E718" s="36" t="inlineStr">
        <is>
          <t>How long is the Ever Given container ship?</t>
        </is>
      </c>
      <c r="F718" s="42" t="n">
        <v>400</v>
      </c>
      <c r="G718" s="33" t="inlineStr">
        <is>
          <t>metres</t>
        </is>
      </c>
      <c r="H718" s="35" t="inlineStr">
        <is>
          <t>Medium</t>
        </is>
      </c>
      <c r="I718" s="33" t="inlineStr">
        <is>
          <t>Evergreen Marine</t>
        </is>
      </c>
      <c r="J718" s="35" t="n"/>
      <c r="K718" s="33" t="inlineStr">
        <is>
          <t>Added Oct 2026. Spot check before this day goes live.</t>
        </is>
      </c>
      <c r="L718" s="35">
        <f>COUNTIFS($A$2:$A$1501,A718,$D$2:$D$1501,D718)</f>
        <v/>
      </c>
    </row>
    <row r="719">
      <c r="A719" s="35" t="n">
        <v>144</v>
      </c>
      <c r="B719" s="41" t="n">
        <v>46443</v>
      </c>
      <c r="C719" s="35" t="n">
        <v>3</v>
      </c>
      <c r="D719" s="33" t="inlineStr">
        <is>
          <t>Canada</t>
        </is>
      </c>
      <c r="E719" s="36" t="inlineStr">
        <is>
          <t>How long is Toronto's underground PATH walkway?</t>
        </is>
      </c>
      <c r="F719" s="42" t="n">
        <v>30</v>
      </c>
      <c r="G719" s="33" t="inlineStr">
        <is>
          <t>km</t>
        </is>
      </c>
      <c r="H719" s="35" t="inlineStr">
        <is>
          <t>Medium</t>
        </is>
      </c>
      <c r="I719" s="33" t="inlineStr">
        <is>
          <t>City of Toronto</t>
        </is>
      </c>
      <c r="J719" s="35" t="n"/>
      <c r="K719" s="33" t="inlineStr">
        <is>
          <t>Added Oct 2026. Spot check before this day goes live.</t>
        </is>
      </c>
      <c r="L719" s="35">
        <f>COUNTIFS($A$2:$A$1501,A719,$D$2:$D$1501,D719)</f>
        <v/>
      </c>
    </row>
    <row r="720">
      <c r="A720" s="35" t="n">
        <v>144</v>
      </c>
      <c r="B720" s="41" t="n">
        <v>46443</v>
      </c>
      <c r="C720" s="35" t="n">
        <v>4</v>
      </c>
      <c r="D720" s="33" t="inlineStr">
        <is>
          <t>Movies, Music and Games</t>
        </is>
      </c>
      <c r="E720" s="36" t="inlineStr">
        <is>
          <t>How long is The Irishman?</t>
        </is>
      </c>
      <c r="F720" s="42" t="n">
        <v>209</v>
      </c>
      <c r="G720" s="33" t="inlineStr">
        <is>
          <t>minutes</t>
        </is>
      </c>
      <c r="H720" s="35" t="inlineStr">
        <is>
          <t>Hard</t>
        </is>
      </c>
      <c r="I720" s="33" t="inlineStr">
        <is>
          <t>IMDb</t>
        </is>
      </c>
      <c r="J720" s="35" t="n"/>
      <c r="K720" s="33" t="inlineStr">
        <is>
          <t>Added Oct 2026. Spot check before this day goes live.</t>
        </is>
      </c>
      <c r="L720" s="35">
        <f>COUNTIFS($A$2:$A$1501,A720,$D$2:$D$1501,D720)</f>
        <v/>
      </c>
    </row>
    <row r="721">
      <c r="A721" s="35" t="n">
        <v>144</v>
      </c>
      <c r="B721" s="41" t="n">
        <v>46443</v>
      </c>
      <c r="C721" s="35" t="n">
        <v>5</v>
      </c>
      <c r="D721" s="33" t="inlineStr">
        <is>
          <t>Distance of the Day</t>
        </is>
      </c>
      <c r="E721" s="36" t="inlineStr">
        <is>
          <t>How far is it in a straight line from Berlin to Dublin?</t>
        </is>
      </c>
      <c r="F721" s="42" t="n">
        <v>1320</v>
      </c>
      <c r="G721" s="33" t="inlineStr">
        <is>
          <t>km</t>
        </is>
      </c>
      <c r="H721" s="35" t="inlineStr">
        <is>
          <t>Easy</t>
        </is>
      </c>
      <c r="I721" s="33" t="inlineStr">
        <is>
          <t>Computed great-circle distance (city centre to city centre)</t>
        </is>
      </c>
      <c r="J721" s="35" t="n"/>
      <c r="K721" s="33" t="n"/>
      <c r="L721" s="35">
        <f>COUNTIFS($A$2:$A$1501,A721,$D$2:$D$1501,D721)</f>
        <v/>
      </c>
    </row>
    <row r="722">
      <c r="A722" s="35" t="n">
        <v>145</v>
      </c>
      <c r="B722" s="41" t="n">
        <v>46444</v>
      </c>
      <c r="C722" s="35" t="n">
        <v>1</v>
      </c>
      <c r="D722" s="33" t="inlineStr">
        <is>
          <t>Space and Science</t>
        </is>
      </c>
      <c r="E722" s="36" t="inlineStr">
        <is>
          <t>How many sides does a snowflake have?</t>
        </is>
      </c>
      <c r="F722" s="42" t="n">
        <v>6</v>
      </c>
      <c r="G722" s="33" t="inlineStr">
        <is>
          <t>sides</t>
        </is>
      </c>
      <c r="H722" s="35" t="inlineStr">
        <is>
          <t>Easy</t>
        </is>
      </c>
      <c r="I722" s="33" t="inlineStr">
        <is>
          <t>NOAA</t>
        </is>
      </c>
      <c r="J722" s="35" t="n"/>
      <c r="K722" s="33" t="inlineStr">
        <is>
          <t>Added Oct 2026. Spot check before this day goes live.</t>
        </is>
      </c>
      <c r="L722" s="35">
        <f>COUNTIFS($A$2:$A$1501,A722,$D$2:$D$1501,D722)</f>
        <v/>
      </c>
    </row>
    <row r="723">
      <c r="A723" s="35" t="n">
        <v>145</v>
      </c>
      <c r="B723" s="41" t="n">
        <v>46444</v>
      </c>
      <c r="C723" s="35" t="n">
        <v>2</v>
      </c>
      <c r="D723" s="33" t="inlineStr">
        <is>
          <t>Animals and Nature</t>
        </is>
      </c>
      <c r="E723" s="36" t="inlineStr">
        <is>
          <t>How many eggs can a queen honeybee lay in a day?</t>
        </is>
      </c>
      <c r="F723" s="42" t="n">
        <v>2000</v>
      </c>
      <c r="G723" s="33" t="inlineStr">
        <is>
          <t>eggs</t>
        </is>
      </c>
      <c r="H723" s="35" t="inlineStr">
        <is>
          <t>Medium</t>
        </is>
      </c>
      <c r="I723" s="33" t="inlineStr">
        <is>
          <t>USDA</t>
        </is>
      </c>
      <c r="J723" s="35" t="n"/>
      <c r="K723" s="33" t="inlineStr">
        <is>
          <t>Added Oct 2026. Spot check before this day goes live.</t>
        </is>
      </c>
      <c r="L723" s="35">
        <f>COUNTIFS($A$2:$A$1501,A723,$D$2:$D$1501,D723)</f>
        <v/>
      </c>
    </row>
    <row r="724">
      <c r="A724" s="35" t="n">
        <v>145</v>
      </c>
      <c r="B724" s="41" t="n">
        <v>46444</v>
      </c>
      <c r="C724" s="35" t="n">
        <v>3</v>
      </c>
      <c r="D724" s="33" t="inlineStr">
        <is>
          <t>Human Body</t>
        </is>
      </c>
      <c r="E724" s="36" t="inlineStr">
        <is>
          <t>How long is the stapes, the smallest bone in the body?</t>
        </is>
      </c>
      <c r="F724" s="42" t="n">
        <v>3</v>
      </c>
      <c r="G724" s="33" t="inlineStr">
        <is>
          <t>mm</t>
        </is>
      </c>
      <c r="H724" s="35" t="inlineStr">
        <is>
          <t>Hard</t>
        </is>
      </c>
      <c r="I724" s="33" t="inlineStr">
        <is>
          <t>Britannica</t>
        </is>
      </c>
      <c r="J724" s="35" t="n"/>
      <c r="K724" s="33" t="inlineStr">
        <is>
          <t>Added Oct 2026. Spot check before this day goes live.</t>
        </is>
      </c>
      <c r="L724" s="35">
        <f>COUNTIFS($A$2:$A$1501,A724,$D$2:$D$1501,D724)</f>
        <v/>
      </c>
    </row>
    <row r="725">
      <c r="A725" s="35" t="n">
        <v>145</v>
      </c>
      <c r="B725" s="41" t="n">
        <v>46444</v>
      </c>
      <c r="C725" s="35" t="n">
        <v>4</v>
      </c>
      <c r="D725" s="33" t="inlineStr">
        <is>
          <t>Geography</t>
        </is>
      </c>
      <c r="E725" s="36" t="inlineStr">
        <is>
          <t>How big is the island of Borneo?</t>
        </is>
      </c>
      <c r="F725" s="42" t="n">
        <v>743330</v>
      </c>
      <c r="G725" s="33" t="inlineStr">
        <is>
          <t>km²</t>
        </is>
      </c>
      <c r="H725" s="35" t="inlineStr">
        <is>
          <t>Hard</t>
        </is>
      </c>
      <c r="I725" s="33" t="inlineStr">
        <is>
          <t>Britannica</t>
        </is>
      </c>
      <c r="J725" s="35" t="n"/>
      <c r="K725" s="33" t="inlineStr">
        <is>
          <t>Added Oct 2026. Spot check before this day goes live.</t>
        </is>
      </c>
      <c r="L725" s="35">
        <f>COUNTIFS($A$2:$A$1501,A725,$D$2:$D$1501,D725)</f>
        <v/>
      </c>
    </row>
    <row r="726">
      <c r="A726" s="35" t="n">
        <v>145</v>
      </c>
      <c r="B726" s="41" t="n">
        <v>46444</v>
      </c>
      <c r="C726" s="35" t="n">
        <v>5</v>
      </c>
      <c r="D726" s="33" t="inlineStr">
        <is>
          <t>Distance of the Day</t>
        </is>
      </c>
      <c r="E726" s="36" t="inlineStr">
        <is>
          <t>How far is it in a straight line from Yellowknife to Dallas?</t>
        </is>
      </c>
      <c r="F726" s="42" t="n">
        <v>3530</v>
      </c>
      <c r="G726" s="33" t="inlineStr">
        <is>
          <t>km</t>
        </is>
      </c>
      <c r="H726" s="35" t="inlineStr">
        <is>
          <t>Medium</t>
        </is>
      </c>
      <c r="I726" s="33" t="inlineStr">
        <is>
          <t>Computed great-circle distance (city centre to city centre)</t>
        </is>
      </c>
      <c r="J726" s="35" t="n"/>
      <c r="K726" s="33" t="n"/>
      <c r="L726" s="35">
        <f>COUNTIFS($A$2:$A$1501,A726,$D$2:$D$1501,D726)</f>
        <v/>
      </c>
    </row>
    <row r="727">
      <c r="A727" s="35" t="n">
        <v>146</v>
      </c>
      <c r="B727" s="41" t="n">
        <v>46445</v>
      </c>
      <c r="C727" s="35" t="n">
        <v>1</v>
      </c>
      <c r="D727" s="33" t="inlineStr">
        <is>
          <t>Sports</t>
        </is>
      </c>
      <c r="E727" s="36" t="inlineStr">
        <is>
          <t>How many home runs did Roger Maris hit in 1961?</t>
        </is>
      </c>
      <c r="F727" s="42" t="n">
        <v>61</v>
      </c>
      <c r="G727" s="33" t="inlineStr">
        <is>
          <t>home runs</t>
        </is>
      </c>
      <c r="H727" s="35" t="inlineStr">
        <is>
          <t>Medium</t>
        </is>
      </c>
      <c r="I727" s="33" t="inlineStr">
        <is>
          <t>MLB.com</t>
        </is>
      </c>
      <c r="J727" s="35" t="n"/>
      <c r="K727" s="33" t="inlineStr">
        <is>
          <t>Added Oct 2026. Spot check before this day goes live.</t>
        </is>
      </c>
      <c r="L727" s="35">
        <f>COUNTIFS($A$2:$A$1501,A727,$D$2:$D$1501,D727)</f>
        <v/>
      </c>
    </row>
    <row r="728">
      <c r="A728" s="35" t="n">
        <v>146</v>
      </c>
      <c r="B728" s="41" t="n">
        <v>46445</v>
      </c>
      <c r="C728" s="35" t="n">
        <v>2</v>
      </c>
      <c r="D728" s="33" t="inlineStr">
        <is>
          <t>Food and Everyday Life</t>
        </is>
      </c>
      <c r="E728" s="36" t="inlineStr">
        <is>
          <t>How long is a new standard pencil?</t>
        </is>
      </c>
      <c r="F728" s="42" t="n">
        <v>19</v>
      </c>
      <c r="G728" s="33" t="inlineStr">
        <is>
          <t>cm</t>
        </is>
      </c>
      <c r="H728" s="35" t="inlineStr">
        <is>
          <t>Medium</t>
        </is>
      </c>
      <c r="I728" s="33" t="inlineStr">
        <is>
          <t>Dixon Ticonderoga</t>
        </is>
      </c>
      <c r="J728" s="35" t="n"/>
      <c r="K728" s="33" t="inlineStr">
        <is>
          <t>Added Oct 2026. Spot check before this day goes live.</t>
        </is>
      </c>
      <c r="L728" s="35">
        <f>COUNTIFS($A$2:$A$1501,A728,$D$2:$D$1501,D728)</f>
        <v/>
      </c>
    </row>
    <row r="729">
      <c r="A729" s="35" t="n">
        <v>146</v>
      </c>
      <c r="B729" s="41" t="n">
        <v>46445</v>
      </c>
      <c r="C729" s="35" t="n">
        <v>3</v>
      </c>
      <c r="D729" s="33" t="inlineStr">
        <is>
          <t>Canada</t>
        </is>
      </c>
      <c r="E729" s="36" t="inlineStr">
        <is>
          <t>How long is the Rideau Canal, from Ottawa to Kingston?</t>
        </is>
      </c>
      <c r="F729" s="42" t="n">
        <v>202</v>
      </c>
      <c r="G729" s="33" t="inlineStr">
        <is>
          <t>km</t>
        </is>
      </c>
      <c r="H729" s="35" t="inlineStr">
        <is>
          <t>Hard</t>
        </is>
      </c>
      <c r="I729" s="33" t="inlineStr">
        <is>
          <t>Parks Canada</t>
        </is>
      </c>
      <c r="J729" s="35" t="n"/>
      <c r="K729" s="33" t="inlineStr">
        <is>
          <t>Added Oct 2026. Spot check before this day goes live.</t>
        </is>
      </c>
      <c r="L729" s="35">
        <f>COUNTIFS($A$2:$A$1501,A729,$D$2:$D$1501,D729)</f>
        <v/>
      </c>
    </row>
    <row r="730">
      <c r="A730" s="35" t="n">
        <v>146</v>
      </c>
      <c r="B730" s="41" t="n">
        <v>46445</v>
      </c>
      <c r="C730" s="35" t="n">
        <v>4</v>
      </c>
      <c r="D730" s="33" t="inlineStr">
        <is>
          <t>Buildings and Engineering</t>
        </is>
      </c>
      <c r="E730" s="36" t="inlineStr">
        <is>
          <t>How tall is the Atomium in Brussels?</t>
        </is>
      </c>
      <c r="F730" s="42" t="n">
        <v>102</v>
      </c>
      <c r="G730" s="33" t="inlineStr">
        <is>
          <t>metres</t>
        </is>
      </c>
      <c r="H730" s="35" t="inlineStr">
        <is>
          <t>Hard</t>
        </is>
      </c>
      <c r="I730" s="33" t="inlineStr">
        <is>
          <t>Atomium</t>
        </is>
      </c>
      <c r="J730" s="35" t="n"/>
      <c r="K730" s="33" t="inlineStr">
        <is>
          <t>Added Oct 2026. Spot check before this day goes live.</t>
        </is>
      </c>
      <c r="L730" s="35">
        <f>COUNTIFS($A$2:$A$1501,A730,$D$2:$D$1501,D730)</f>
        <v/>
      </c>
    </row>
    <row r="731">
      <c r="A731" s="35" t="n">
        <v>146</v>
      </c>
      <c r="B731" s="41" t="n">
        <v>46445</v>
      </c>
      <c r="C731" s="35" t="n">
        <v>5</v>
      </c>
      <c r="D731" s="33" t="inlineStr">
        <is>
          <t>Distance of the Day</t>
        </is>
      </c>
      <c r="E731" s="36" t="inlineStr">
        <is>
          <t>How far is it in a straight line from Whitehorse to Mumbai?</t>
        </is>
      </c>
      <c r="F731" s="42" t="n">
        <v>10790</v>
      </c>
      <c r="G731" s="33" t="inlineStr">
        <is>
          <t>km</t>
        </is>
      </c>
      <c r="H731" s="35" t="inlineStr">
        <is>
          <t>Hard</t>
        </is>
      </c>
      <c r="I731" s="33" t="inlineStr">
        <is>
          <t>Computed great-circle distance (city centre to city centre)</t>
        </is>
      </c>
      <c r="J731" s="35" t="n"/>
      <c r="K731" s="33" t="n"/>
      <c r="L731" s="35">
        <f>COUNTIFS($A$2:$A$1501,A731,$D$2:$D$1501,D731)</f>
        <v/>
      </c>
    </row>
    <row r="732">
      <c r="A732" s="35" t="n">
        <v>147</v>
      </c>
      <c r="B732" s="41" t="n">
        <v>46446</v>
      </c>
      <c r="C732" s="35" t="n">
        <v>1</v>
      </c>
      <c r="D732" s="33" t="inlineStr">
        <is>
          <t>Human Body</t>
        </is>
      </c>
      <c r="E732" s="36" t="inlineStr">
        <is>
          <t>How many bones are in the human neck?</t>
        </is>
      </c>
      <c r="F732" s="42" t="n">
        <v>7</v>
      </c>
      <c r="G732" s="33" t="inlineStr">
        <is>
          <t>bones</t>
        </is>
      </c>
      <c r="H732" s="35" t="inlineStr">
        <is>
          <t>Easy</t>
        </is>
      </c>
      <c r="I732" s="33" t="inlineStr">
        <is>
          <t>Britannica</t>
        </is>
      </c>
      <c r="J732" s="35" t="n"/>
      <c r="K732" s="33" t="inlineStr">
        <is>
          <t>Added Oct 2026. Spot check before this day goes live.</t>
        </is>
      </c>
      <c r="L732" s="35">
        <f>COUNTIFS($A$2:$A$1501,A732,$D$2:$D$1501,D732)</f>
        <v/>
      </c>
    </row>
    <row r="733">
      <c r="A733" s="35" t="n">
        <v>147</v>
      </c>
      <c r="B733" s="41" t="n">
        <v>46446</v>
      </c>
      <c r="C733" s="35" t="n">
        <v>2</v>
      </c>
      <c r="D733" s="33" t="inlineStr">
        <is>
          <t>Movies, Music and Games</t>
        </is>
      </c>
      <c r="E733" s="36" t="inlineStr">
        <is>
          <t>How many episodes of Stranger Things were made?</t>
        </is>
      </c>
      <c r="F733" s="42" t="n">
        <v>42</v>
      </c>
      <c r="G733" s="33" t="inlineStr">
        <is>
          <t>episodes</t>
        </is>
      </c>
      <c r="H733" s="35" t="inlineStr">
        <is>
          <t>Medium</t>
        </is>
      </c>
      <c r="I733" s="33" t="inlineStr">
        <is>
          <t>Netflix</t>
        </is>
      </c>
      <c r="J733" s="35" t="n"/>
      <c r="K733" s="33" t="inlineStr">
        <is>
          <t>Added Oct 2026. Spot check before this day goes live.</t>
        </is>
      </c>
      <c r="L733" s="35">
        <f>COUNTIFS($A$2:$A$1501,A733,$D$2:$D$1501,D733)</f>
        <v/>
      </c>
    </row>
    <row r="734">
      <c r="A734" s="35" t="n">
        <v>147</v>
      </c>
      <c r="B734" s="41" t="n">
        <v>46446</v>
      </c>
      <c r="C734" s="35" t="n">
        <v>3</v>
      </c>
      <c r="D734" s="33" t="inlineStr">
        <is>
          <t>Animals and Nature</t>
        </is>
      </c>
      <c r="E734" s="36" t="inlineStr">
        <is>
          <t>How many days is a dog pregnant for?</t>
        </is>
      </c>
      <c r="F734" s="42" t="n">
        <v>63</v>
      </c>
      <c r="G734" s="33" t="inlineStr">
        <is>
          <t>days</t>
        </is>
      </c>
      <c r="H734" s="35" t="inlineStr">
        <is>
          <t>Medium</t>
        </is>
      </c>
      <c r="I734" s="33" t="inlineStr">
        <is>
          <t>American Kennel Club</t>
        </is>
      </c>
      <c r="J734" s="35" t="n"/>
      <c r="K734" s="33" t="inlineStr">
        <is>
          <t>Added Oct 2026. Spot check before this day goes live.</t>
        </is>
      </c>
      <c r="L734" s="35">
        <f>COUNTIFS($A$2:$A$1501,A734,$D$2:$D$1501,D734)</f>
        <v/>
      </c>
    </row>
    <row r="735">
      <c r="A735" s="35" t="n">
        <v>147</v>
      </c>
      <c r="B735" s="41" t="n">
        <v>46446</v>
      </c>
      <c r="C735" s="35" t="n">
        <v>4</v>
      </c>
      <c r="D735" s="33" t="inlineStr">
        <is>
          <t>Space and Science</t>
        </is>
      </c>
      <c r="E735" s="36" t="inlineStr">
        <is>
          <t>How much Moon rock did the Apollo missions bring back?</t>
        </is>
      </c>
      <c r="F735" s="42" t="n">
        <v>382</v>
      </c>
      <c r="G735" s="33" t="inlineStr">
        <is>
          <t>kg</t>
        </is>
      </c>
      <c r="H735" s="35" t="inlineStr">
        <is>
          <t>Hard</t>
        </is>
      </c>
      <c r="I735" s="33" t="inlineStr">
        <is>
          <t>NASA</t>
        </is>
      </c>
      <c r="J735" s="35" t="n"/>
      <c r="K735" s="33" t="inlineStr">
        <is>
          <t>Added Oct 2026. Spot check before this day goes live.</t>
        </is>
      </c>
      <c r="L735" s="35">
        <f>COUNTIFS($A$2:$A$1501,A735,$D$2:$D$1501,D735)</f>
        <v/>
      </c>
    </row>
    <row r="736">
      <c r="A736" s="35" t="n">
        <v>147</v>
      </c>
      <c r="B736" s="41" t="n">
        <v>46446</v>
      </c>
      <c r="C736" s="35" t="n">
        <v>5</v>
      </c>
      <c r="D736" s="33" t="inlineStr">
        <is>
          <t>Distance of the Day</t>
        </is>
      </c>
      <c r="E736" s="36" t="inlineStr">
        <is>
          <t>How far is it in a straight line from London to Zurich?</t>
        </is>
      </c>
      <c r="F736" s="42" t="n">
        <v>780</v>
      </c>
      <c r="G736" s="33" t="inlineStr">
        <is>
          <t>km</t>
        </is>
      </c>
      <c r="H736" s="35" t="inlineStr">
        <is>
          <t>Easy</t>
        </is>
      </c>
      <c r="I736" s="33" t="inlineStr">
        <is>
          <t>Computed great-circle distance (city centre to city centre)</t>
        </is>
      </c>
      <c r="J736" s="35" t="n"/>
      <c r="K736" s="33" t="n"/>
      <c r="L736" s="35">
        <f>COUNTIFS($A$2:$A$1501,A736,$D$2:$D$1501,D736)</f>
        <v/>
      </c>
    </row>
    <row r="737">
      <c r="A737" s="35" t="n">
        <v>148</v>
      </c>
      <c r="B737" s="41" t="n">
        <v>46447</v>
      </c>
      <c r="C737" s="35" t="n">
        <v>1</v>
      </c>
      <c r="D737" s="33" t="inlineStr">
        <is>
          <t>Sports</t>
        </is>
      </c>
      <c r="E737" s="36" t="inlineStr">
        <is>
          <t>How long is an Olympic swimming pool?</t>
        </is>
      </c>
      <c r="F737" s="42" t="n">
        <v>50</v>
      </c>
      <c r="G737" s="33" t="inlineStr">
        <is>
          <t>metres</t>
        </is>
      </c>
      <c r="H737" s="35" t="inlineStr">
        <is>
          <t>Easy</t>
        </is>
      </c>
      <c r="I737" s="33" t="inlineStr">
        <is>
          <t>World Aquatics</t>
        </is>
      </c>
      <c r="J737" s="35" t="n"/>
      <c r="K737" s="33" t="inlineStr">
        <is>
          <t>Added Oct 2026. Spot check before this day goes live.</t>
        </is>
      </c>
      <c r="L737" s="35">
        <f>COUNTIFS($A$2:$A$1501,A737,$D$2:$D$1501,D737)</f>
        <v/>
      </c>
    </row>
    <row r="738">
      <c r="A738" s="35" t="n">
        <v>148</v>
      </c>
      <c r="B738" s="41" t="n">
        <v>46447</v>
      </c>
      <c r="C738" s="35" t="n">
        <v>2</v>
      </c>
      <c r="D738" s="33" t="inlineStr">
        <is>
          <t>History</t>
        </is>
      </c>
      <c r="E738" s="36" t="inlineStr">
        <is>
          <t>How many years did the Great Depression last?</t>
        </is>
      </c>
      <c r="F738" s="42" t="n">
        <v>10</v>
      </c>
      <c r="G738" s="33" t="inlineStr">
        <is>
          <t>years</t>
        </is>
      </c>
      <c r="H738" s="35" t="inlineStr">
        <is>
          <t>Medium</t>
        </is>
      </c>
      <c r="I738" s="33" t="inlineStr">
        <is>
          <t>Britannica</t>
        </is>
      </c>
      <c r="J738" s="35" t="n"/>
      <c r="K738" s="33" t="inlineStr">
        <is>
          <t>Added Oct 2026. Spot check before this day goes live.</t>
        </is>
      </c>
      <c r="L738" s="35">
        <f>COUNTIFS($A$2:$A$1501,A738,$D$2:$D$1501,D738)</f>
        <v/>
      </c>
    </row>
    <row r="739">
      <c r="A739" s="35" t="n">
        <v>148</v>
      </c>
      <c r="B739" s="41" t="n">
        <v>46447</v>
      </c>
      <c r="C739" s="35" t="n">
        <v>3</v>
      </c>
      <c r="D739" s="33" t="inlineStr">
        <is>
          <t>Geography</t>
        </is>
      </c>
      <c r="E739" s="36" t="inlineStr">
        <is>
          <t>How big is Mexico?</t>
        </is>
      </c>
      <c r="F739" s="42" t="n">
        <v>1964375</v>
      </c>
      <c r="G739" s="33" t="inlineStr">
        <is>
          <t>km²</t>
        </is>
      </c>
      <c r="H739" s="35" t="inlineStr">
        <is>
          <t>Hard</t>
        </is>
      </c>
      <c r="I739" s="33" t="inlineStr">
        <is>
          <t>CIA World Factbook</t>
        </is>
      </c>
      <c r="J739" s="35" t="n"/>
      <c r="K739" s="33" t="inlineStr">
        <is>
          <t>Added Oct 2026. Spot check before this day goes live.</t>
        </is>
      </c>
      <c r="L739" s="35">
        <f>COUNTIFS($A$2:$A$1501,A739,$D$2:$D$1501,D739)</f>
        <v/>
      </c>
    </row>
    <row r="740">
      <c r="A740" s="35" t="n">
        <v>148</v>
      </c>
      <c r="B740" s="41" t="n">
        <v>46447</v>
      </c>
      <c r="C740" s="35" t="n">
        <v>4</v>
      </c>
      <c r="D740" s="33" t="inlineStr">
        <is>
          <t>Food and Everyday Life</t>
        </is>
      </c>
      <c r="E740" s="36" t="inlineStr">
        <is>
          <t>How much pressure is inside a bottle of champagne?</t>
        </is>
      </c>
      <c r="F740" s="42" t="n">
        <v>90</v>
      </c>
      <c r="G740" s="33" t="inlineStr">
        <is>
          <t>psi</t>
        </is>
      </c>
      <c r="H740" s="35" t="inlineStr">
        <is>
          <t>Hard</t>
        </is>
      </c>
      <c r="I740" s="33" t="inlineStr">
        <is>
          <t>Comité Champagne</t>
        </is>
      </c>
      <c r="J740" s="35" t="n"/>
      <c r="K740" s="33" t="inlineStr">
        <is>
          <t>Added Oct 2026. Spot check before this day goes live.</t>
        </is>
      </c>
      <c r="L740" s="35">
        <f>COUNTIFS($A$2:$A$1501,A740,$D$2:$D$1501,D740)</f>
        <v/>
      </c>
    </row>
    <row r="741">
      <c r="A741" s="35" t="n">
        <v>148</v>
      </c>
      <c r="B741" s="41" t="n">
        <v>46447</v>
      </c>
      <c r="C741" s="35" t="n">
        <v>5</v>
      </c>
      <c r="D741" s="33" t="inlineStr">
        <is>
          <t>Distance of the Day</t>
        </is>
      </c>
      <c r="E741" s="36" t="inlineStr">
        <is>
          <t>How far is it in a straight line from Winnipeg to Hamilton?</t>
        </is>
      </c>
      <c r="F741" s="42" t="n">
        <v>1510</v>
      </c>
      <c r="G741" s="33" t="inlineStr">
        <is>
          <t>km</t>
        </is>
      </c>
      <c r="H741" s="35" t="inlineStr">
        <is>
          <t>Medium</t>
        </is>
      </c>
      <c r="I741" s="33" t="inlineStr">
        <is>
          <t>Computed great-circle distance (city centre to city centre)</t>
        </is>
      </c>
      <c r="J741" s="35" t="n"/>
      <c r="K741" s="33" t="n"/>
      <c r="L741" s="35">
        <f>COUNTIFS($A$2:$A$1501,A741,$D$2:$D$1501,D741)</f>
        <v/>
      </c>
    </row>
    <row r="742">
      <c r="A742" s="35" t="n">
        <v>149</v>
      </c>
      <c r="B742" s="41" t="n">
        <v>46448</v>
      </c>
      <c r="C742" s="35" t="n">
        <v>1</v>
      </c>
      <c r="D742" s="33" t="inlineStr">
        <is>
          <t>Canada</t>
        </is>
      </c>
      <c r="E742" s="36" t="inlineStr">
        <is>
          <t>How many Canadian soldiers landed on Juno Beach on D-Day?</t>
        </is>
      </c>
      <c r="F742" s="42" t="n">
        <v>14000</v>
      </c>
      <c r="G742" s="33" t="inlineStr">
        <is>
          <t>soldiers</t>
        </is>
      </c>
      <c r="H742" s="35" t="inlineStr">
        <is>
          <t>Medium</t>
        </is>
      </c>
      <c r="I742" s="33" t="inlineStr">
        <is>
          <t>Juno Beach Centre</t>
        </is>
      </c>
      <c r="J742" s="35" t="n"/>
      <c r="K742" s="33" t="inlineStr">
        <is>
          <t>Added Oct 2026. Spot check before this day goes live.</t>
        </is>
      </c>
      <c r="L742" s="35">
        <f>COUNTIFS($A$2:$A$1501,A742,$D$2:$D$1501,D742)</f>
        <v/>
      </c>
    </row>
    <row r="743">
      <c r="A743" s="35" t="n">
        <v>149</v>
      </c>
      <c r="B743" s="41" t="n">
        <v>46448</v>
      </c>
      <c r="C743" s="35" t="n">
        <v>2</v>
      </c>
      <c r="D743" s="33" t="inlineStr">
        <is>
          <t>Human Body</t>
        </is>
      </c>
      <c r="E743" s="36" t="inlineStr">
        <is>
          <t>What percentage of your body weight is your skeleton?</t>
        </is>
      </c>
      <c r="F743" s="42" t="n">
        <v>15</v>
      </c>
      <c r="G743" s="33" t="inlineStr">
        <is>
          <t>%</t>
        </is>
      </c>
      <c r="H743" s="35" t="inlineStr">
        <is>
          <t>Medium</t>
        </is>
      </c>
      <c r="I743" s="33" t="inlineStr">
        <is>
          <t>Britannica</t>
        </is>
      </c>
      <c r="J743" s="35" t="n"/>
      <c r="K743" s="33" t="inlineStr">
        <is>
          <t>Added Oct 2026. Spot check before this day goes live.</t>
        </is>
      </c>
      <c r="L743" s="35">
        <f>COUNTIFS($A$2:$A$1501,A743,$D$2:$D$1501,D743)</f>
        <v/>
      </c>
    </row>
    <row r="744">
      <c r="A744" s="35" t="n">
        <v>149</v>
      </c>
      <c r="B744" s="41" t="n">
        <v>46448</v>
      </c>
      <c r="C744" s="35" t="n">
        <v>3</v>
      </c>
      <c r="D744" s="33" t="inlineStr">
        <is>
          <t>Animals and Nature</t>
        </is>
      </c>
      <c r="E744" s="36" t="inlineStr">
        <is>
          <t>How many hours a day does a koala sleep?</t>
        </is>
      </c>
      <c r="F744" s="42" t="n">
        <v>20</v>
      </c>
      <c r="G744" s="33" t="inlineStr">
        <is>
          <t>hours</t>
        </is>
      </c>
      <c r="H744" s="35" t="inlineStr">
        <is>
          <t>Medium</t>
        </is>
      </c>
      <c r="I744" s="33" t="inlineStr">
        <is>
          <t>Australian Koala Foundation</t>
        </is>
      </c>
      <c r="J744" s="35" t="n"/>
      <c r="K744" s="33" t="inlineStr">
        <is>
          <t>Added Oct 2026. Spot check before this day goes live.</t>
        </is>
      </c>
      <c r="L744" s="35">
        <f>COUNTIFS($A$2:$A$1501,A744,$D$2:$D$1501,D744)</f>
        <v/>
      </c>
    </row>
    <row r="745">
      <c r="A745" s="35" t="n">
        <v>149</v>
      </c>
      <c r="B745" s="41" t="n">
        <v>46448</v>
      </c>
      <c r="C745" s="35" t="n">
        <v>4</v>
      </c>
      <c r="D745" s="33" t="inlineStr">
        <is>
          <t>Space and Science</t>
        </is>
      </c>
      <c r="E745" s="36" t="inlineStr">
        <is>
          <t>How many minutes does it take a radio signal to reach Mars at their closest?</t>
        </is>
      </c>
      <c r="F745" s="42" t="n">
        <v>3</v>
      </c>
      <c r="G745" s="33" t="inlineStr">
        <is>
          <t>minutes</t>
        </is>
      </c>
      <c r="H745" s="35" t="inlineStr">
        <is>
          <t>Hard</t>
        </is>
      </c>
      <c r="I745" s="33" t="inlineStr">
        <is>
          <t>NASA</t>
        </is>
      </c>
      <c r="J745" s="35" t="n"/>
      <c r="K745" s="33" t="inlineStr">
        <is>
          <t>Added Oct 2026. Spot check before this day goes live.</t>
        </is>
      </c>
      <c r="L745" s="35">
        <f>COUNTIFS($A$2:$A$1501,A745,$D$2:$D$1501,D745)</f>
        <v/>
      </c>
    </row>
    <row r="746">
      <c r="A746" s="35" t="n">
        <v>149</v>
      </c>
      <c r="B746" s="41" t="n">
        <v>46448</v>
      </c>
      <c r="C746" s="35" t="n">
        <v>5</v>
      </c>
      <c r="D746" s="33" t="inlineStr">
        <is>
          <t>Distance of the Day</t>
        </is>
      </c>
      <c r="E746" s="36" t="inlineStr">
        <is>
          <t>How far is it in a straight line from Montreal to Dhaka?</t>
        </is>
      </c>
      <c r="F746" s="42" t="n">
        <v>12140</v>
      </c>
      <c r="G746" s="33" t="inlineStr">
        <is>
          <t>km</t>
        </is>
      </c>
      <c r="H746" s="35" t="inlineStr">
        <is>
          <t>Hard</t>
        </is>
      </c>
      <c r="I746" s="33" t="inlineStr">
        <is>
          <t>Computed great-circle distance (city centre to city centre)</t>
        </is>
      </c>
      <c r="J746" s="35" t="n"/>
      <c r="K746" s="33" t="n"/>
      <c r="L746" s="35">
        <f>COUNTIFS($A$2:$A$1501,A746,$D$2:$D$1501,D746)</f>
        <v/>
      </c>
    </row>
    <row r="747">
      <c r="A747" s="35" t="n">
        <v>150</v>
      </c>
      <c r="B747" s="41" t="n">
        <v>46449</v>
      </c>
      <c r="C747" s="35" t="n">
        <v>1</v>
      </c>
      <c r="D747" s="33" t="inlineStr">
        <is>
          <t>Sports</t>
        </is>
      </c>
      <c r="E747" s="36" t="inlineStr">
        <is>
          <t>How long is a regulation soccer match, not counting stoppage time?</t>
        </is>
      </c>
      <c r="F747" s="42" t="n">
        <v>90</v>
      </c>
      <c r="G747" s="33" t="inlineStr">
        <is>
          <t>minutes</t>
        </is>
      </c>
      <c r="H747" s="35" t="inlineStr">
        <is>
          <t>Easy</t>
        </is>
      </c>
      <c r="I747" s="33" t="inlineStr">
        <is>
          <t>IFAB Laws of the Game</t>
        </is>
      </c>
      <c r="J747" s="35" t="n"/>
      <c r="K747" s="33" t="inlineStr">
        <is>
          <t>Added Oct 2026. Spot check before this day goes live.</t>
        </is>
      </c>
      <c r="L747" s="35">
        <f>COUNTIFS($A$2:$A$1501,A747,$D$2:$D$1501,D747)</f>
        <v/>
      </c>
    </row>
    <row r="748">
      <c r="A748" s="35" t="n">
        <v>150</v>
      </c>
      <c r="B748" s="41" t="n">
        <v>46449</v>
      </c>
      <c r="C748" s="35" t="n">
        <v>2</v>
      </c>
      <c r="D748" s="33" t="inlineStr">
        <is>
          <t>Movies, Music and Games</t>
        </is>
      </c>
      <c r="E748" s="36" t="inlineStr">
        <is>
          <t>How long is The Wizard of Oz (1939)?</t>
        </is>
      </c>
      <c r="F748" s="42" t="n">
        <v>102</v>
      </c>
      <c r="G748" s="33" t="inlineStr">
        <is>
          <t>minutes</t>
        </is>
      </c>
      <c r="H748" s="35" t="inlineStr">
        <is>
          <t>Medium</t>
        </is>
      </c>
      <c r="I748" s="33" t="inlineStr">
        <is>
          <t>IMDb</t>
        </is>
      </c>
      <c r="J748" s="35" t="n"/>
      <c r="K748" s="33" t="inlineStr">
        <is>
          <t>Added Oct 2026. Spot check before this day goes live.</t>
        </is>
      </c>
      <c r="L748" s="35">
        <f>COUNTIFS($A$2:$A$1501,A748,$D$2:$D$1501,D748)</f>
        <v/>
      </c>
    </row>
    <row r="749">
      <c r="A749" s="35" t="n">
        <v>150</v>
      </c>
      <c r="B749" s="41" t="n">
        <v>46449</v>
      </c>
      <c r="C749" s="35" t="n">
        <v>3</v>
      </c>
      <c r="D749" s="33" t="inlineStr">
        <is>
          <t>History</t>
        </is>
      </c>
      <c r="E749" s="36" t="inlineStr">
        <is>
          <t>How many people died when the Lusitania sank?</t>
        </is>
      </c>
      <c r="F749" s="42" t="n">
        <v>1198</v>
      </c>
      <c r="G749" s="33" t="inlineStr">
        <is>
          <t>people</t>
        </is>
      </c>
      <c r="H749" s="35" t="inlineStr">
        <is>
          <t>Hard</t>
        </is>
      </c>
      <c r="I749" s="33" t="inlineStr">
        <is>
          <t>Royal Museums Greenwich</t>
        </is>
      </c>
      <c r="J749" s="35" t="n"/>
      <c r="K749" s="33" t="inlineStr">
        <is>
          <t>Added Oct 2026. Spot check before this day goes live.</t>
        </is>
      </c>
      <c r="L749" s="35">
        <f>COUNTIFS($A$2:$A$1501,A749,$D$2:$D$1501,D749)</f>
        <v/>
      </c>
    </row>
    <row r="750">
      <c r="A750" s="35" t="n">
        <v>150</v>
      </c>
      <c r="B750" s="41" t="n">
        <v>46449</v>
      </c>
      <c r="C750" s="35" t="n">
        <v>4</v>
      </c>
      <c r="D750" s="33" t="inlineStr">
        <is>
          <t>Buildings and Engineering</t>
        </is>
      </c>
      <c r="E750" s="36" t="inlineStr">
        <is>
          <t>How long is the Erie Canal?</t>
        </is>
      </c>
      <c r="F750" s="42" t="n">
        <v>584</v>
      </c>
      <c r="G750" s="33" t="inlineStr">
        <is>
          <t>km</t>
        </is>
      </c>
      <c r="H750" s="35" t="inlineStr">
        <is>
          <t>Hard</t>
        </is>
      </c>
      <c r="I750" s="33" t="inlineStr">
        <is>
          <t>New York State Canal Corporation</t>
        </is>
      </c>
      <c r="J750" s="35" t="n"/>
      <c r="K750" s="33" t="inlineStr">
        <is>
          <t>Added Oct 2026. Spot check before this day goes live.</t>
        </is>
      </c>
      <c r="L750" s="35">
        <f>COUNTIFS($A$2:$A$1501,A750,$D$2:$D$1501,D750)</f>
        <v/>
      </c>
    </row>
    <row r="751">
      <c r="A751" s="35" t="n">
        <v>150</v>
      </c>
      <c r="B751" s="41" t="n">
        <v>46449</v>
      </c>
      <c r="C751" s="35" t="n">
        <v>5</v>
      </c>
      <c r="D751" s="33" t="inlineStr">
        <is>
          <t>Distance of the Day</t>
        </is>
      </c>
      <c r="E751" s="36" t="inlineStr">
        <is>
          <t>How far is it in a straight line from Calgary to Atlanta?</t>
        </is>
      </c>
      <c r="F751" s="42" t="n">
        <v>3070</v>
      </c>
      <c r="G751" s="33" t="inlineStr">
        <is>
          <t>km</t>
        </is>
      </c>
      <c r="H751" s="35" t="inlineStr">
        <is>
          <t>Medium</t>
        </is>
      </c>
      <c r="I751" s="33" t="inlineStr">
        <is>
          <t>Computed great-circle distance (city centre to city centre)</t>
        </is>
      </c>
      <c r="J751" s="35" t="n"/>
      <c r="K751" s="33" t="n"/>
      <c r="L751" s="35">
        <f>COUNTIFS($A$2:$A$1501,A751,$D$2:$D$1501,D751)</f>
        <v/>
      </c>
    </row>
    <row r="752">
      <c r="A752" s="35" t="n">
        <v>151</v>
      </c>
      <c r="B752" s="41" t="n">
        <v>46450</v>
      </c>
      <c r="C752" s="35" t="n">
        <v>1</v>
      </c>
      <c r="D752" s="33" t="inlineStr">
        <is>
          <t>Human Body</t>
        </is>
      </c>
      <c r="E752" s="36" t="inlineStr">
        <is>
          <t>How many hours of sleep a night are recommended for adults, at minimum?</t>
        </is>
      </c>
      <c r="F752" s="42" t="n">
        <v>7</v>
      </c>
      <c r="G752" s="33" t="inlineStr">
        <is>
          <t>hours</t>
        </is>
      </c>
      <c r="H752" s="35" t="inlineStr">
        <is>
          <t>Easy</t>
        </is>
      </c>
      <c r="I752" s="33" t="inlineStr">
        <is>
          <t>Canadian Society for Exercise Physiology</t>
        </is>
      </c>
      <c r="J752" s="35" t="n"/>
      <c r="K752" s="33" t="inlineStr">
        <is>
          <t>Added Oct 2026. Spot check before this day goes live.</t>
        </is>
      </c>
      <c r="L752" s="35">
        <f>COUNTIFS($A$2:$A$1501,A752,$D$2:$D$1501,D752)</f>
        <v/>
      </c>
    </row>
    <row r="753">
      <c r="A753" s="35" t="n">
        <v>151</v>
      </c>
      <c r="B753" s="41" t="n">
        <v>46450</v>
      </c>
      <c r="C753" s="35" t="n">
        <v>2</v>
      </c>
      <c r="D753" s="33" t="inlineStr">
        <is>
          <t>Food and Everyday Life</t>
        </is>
      </c>
      <c r="E753" s="36" t="inlineStr">
        <is>
          <t>How heavy is a tablespoon of butter?</t>
        </is>
      </c>
      <c r="F753" s="42" t="n">
        <v>14</v>
      </c>
      <c r="G753" s="33" t="inlineStr">
        <is>
          <t>grams</t>
        </is>
      </c>
      <c r="H753" s="35" t="inlineStr">
        <is>
          <t>Medium</t>
        </is>
      </c>
      <c r="I753" s="33" t="inlineStr">
        <is>
          <t>USDA FoodData Central</t>
        </is>
      </c>
      <c r="J753" s="35" t="n"/>
      <c r="K753" s="33" t="inlineStr">
        <is>
          <t>Added Oct 2026. Spot check before this day goes live.</t>
        </is>
      </c>
      <c r="L753" s="35">
        <f>COUNTIFS($A$2:$A$1501,A753,$D$2:$D$1501,D753)</f>
        <v/>
      </c>
    </row>
    <row r="754">
      <c r="A754" s="35" t="n">
        <v>151</v>
      </c>
      <c r="B754" s="41" t="n">
        <v>46450</v>
      </c>
      <c r="C754" s="35" t="n">
        <v>3</v>
      </c>
      <c r="D754" s="33" t="inlineStr">
        <is>
          <t>Geography</t>
        </is>
      </c>
      <c r="E754" s="36" t="inlineStr">
        <is>
          <t>How many countries are in North America, counting Central America and the Caribbean?</t>
        </is>
      </c>
      <c r="F754" s="42" t="n">
        <v>23</v>
      </c>
      <c r="G754" s="33" t="inlineStr">
        <is>
          <t>countries</t>
        </is>
      </c>
      <c r="H754" s="35" t="inlineStr">
        <is>
          <t>Medium</t>
        </is>
      </c>
      <c r="I754" s="33" t="inlineStr">
        <is>
          <t>Britannica</t>
        </is>
      </c>
      <c r="J754" s="35" t="n"/>
      <c r="K754" s="33" t="inlineStr">
        <is>
          <t>Added Oct 2026. Spot check before this day goes live.</t>
        </is>
      </c>
      <c r="L754" s="35">
        <f>COUNTIFS($A$2:$A$1501,A754,$D$2:$D$1501,D754)</f>
        <v/>
      </c>
    </row>
    <row r="755">
      <c r="A755" s="35" t="n">
        <v>151</v>
      </c>
      <c r="B755" s="41" t="n">
        <v>46450</v>
      </c>
      <c r="C755" s="35" t="n">
        <v>4</v>
      </c>
      <c r="D755" s="33" t="inlineStr">
        <is>
          <t>Animals and Nature</t>
        </is>
      </c>
      <c r="E755" s="36" t="inlineStr">
        <is>
          <t>How strong is a saltwater crocodile's bite?</t>
        </is>
      </c>
      <c r="F755" s="42" t="n">
        <v>3700</v>
      </c>
      <c r="G755" s="33" t="inlineStr">
        <is>
          <t>psi</t>
        </is>
      </c>
      <c r="H755" s="35" t="inlineStr">
        <is>
          <t>Hard</t>
        </is>
      </c>
      <c r="I755" s="33" t="inlineStr">
        <is>
          <t>Florida State University study</t>
        </is>
      </c>
      <c r="J755" s="35" t="n"/>
      <c r="K755" s="33" t="inlineStr">
        <is>
          <t>Added Oct 2026. Spot check before this day goes live.</t>
        </is>
      </c>
      <c r="L755" s="35">
        <f>COUNTIFS($A$2:$A$1501,A755,$D$2:$D$1501,D755)</f>
        <v/>
      </c>
    </row>
    <row r="756">
      <c r="A756" s="35" t="n">
        <v>151</v>
      </c>
      <c r="B756" s="41" t="n">
        <v>46450</v>
      </c>
      <c r="C756" s="35" t="n">
        <v>5</v>
      </c>
      <c r="D756" s="33" t="inlineStr">
        <is>
          <t>Distance of the Day</t>
        </is>
      </c>
      <c r="E756" s="36" t="inlineStr">
        <is>
          <t>How far is it in a straight line from Paris to Vienna?</t>
        </is>
      </c>
      <c r="F756" s="42" t="n">
        <v>1030</v>
      </c>
      <c r="G756" s="33" t="inlineStr">
        <is>
          <t>km</t>
        </is>
      </c>
      <c r="H756" s="35" t="inlineStr">
        <is>
          <t>Easy</t>
        </is>
      </c>
      <c r="I756" s="33" t="inlineStr">
        <is>
          <t>Computed great-circle distance (city centre to city centre)</t>
        </is>
      </c>
      <c r="J756" s="35" t="n"/>
      <c r="K756" s="33" t="n"/>
      <c r="L756" s="35">
        <f>COUNTIFS($A$2:$A$1501,A756,$D$2:$D$1501,D756)</f>
        <v/>
      </c>
    </row>
    <row r="757">
      <c r="A757" s="35" t="n">
        <v>152</v>
      </c>
      <c r="B757" s="41" t="n">
        <v>46451</v>
      </c>
      <c r="C757" s="35" t="n">
        <v>1</v>
      </c>
      <c r="D757" s="33" t="inlineStr">
        <is>
          <t>Sports</t>
        </is>
      </c>
      <c r="E757" s="36" t="inlineStr">
        <is>
          <t>How high did Javier Sotomayor clear in his high jump world record?</t>
        </is>
      </c>
      <c r="F757" s="42" t="n">
        <v>2.45</v>
      </c>
      <c r="G757" s="33" t="inlineStr">
        <is>
          <t>metres</t>
        </is>
      </c>
      <c r="H757" s="35" t="inlineStr">
        <is>
          <t>Medium</t>
        </is>
      </c>
      <c r="I757" s="33" t="inlineStr">
        <is>
          <t>World Athletics</t>
        </is>
      </c>
      <c r="J757" s="35" t="n"/>
      <c r="K757" s="33" t="inlineStr">
        <is>
          <t>Added Oct 2026. Spot check before this day goes live.</t>
        </is>
      </c>
      <c r="L757" s="35">
        <f>COUNTIFS($A$2:$A$1501,A757,$D$2:$D$1501,D757)</f>
        <v/>
      </c>
    </row>
    <row r="758">
      <c r="A758" s="35" t="n">
        <v>152</v>
      </c>
      <c r="B758" s="41" t="n">
        <v>46451</v>
      </c>
      <c r="C758" s="35" t="n">
        <v>2</v>
      </c>
      <c r="D758" s="33" t="inlineStr">
        <is>
          <t>Canada</t>
        </is>
      </c>
      <c r="E758" s="36" t="inlineStr">
        <is>
          <t>How many points is a single, or rouge, worth in the CFL?</t>
        </is>
      </c>
      <c r="F758" s="42" t="n">
        <v>1</v>
      </c>
      <c r="G758" s="33" t="inlineStr">
        <is>
          <t>point</t>
        </is>
      </c>
      <c r="H758" s="35" t="inlineStr">
        <is>
          <t>Medium</t>
        </is>
      </c>
      <c r="I758" s="33" t="inlineStr">
        <is>
          <t>CFL rulebook</t>
        </is>
      </c>
      <c r="J758" s="35" t="n"/>
      <c r="K758" s="33" t="inlineStr">
        <is>
          <t>Added Oct 2026. Spot check before this day goes live.</t>
        </is>
      </c>
      <c r="L758" s="35">
        <f>COUNTIFS($A$2:$A$1501,A758,$D$2:$D$1501,D758)</f>
        <v/>
      </c>
    </row>
    <row r="759">
      <c r="A759" s="35" t="n">
        <v>152</v>
      </c>
      <c r="B759" s="41" t="n">
        <v>46451</v>
      </c>
      <c r="C759" s="35" t="n">
        <v>3</v>
      </c>
      <c r="D759" s="33" t="inlineStr">
        <is>
          <t>Space and Science</t>
        </is>
      </c>
      <c r="E759" s="36" t="inlineStr">
        <is>
          <t>How far is Jupiter from the Sun, on average?</t>
        </is>
      </c>
      <c r="F759" s="42" t="n">
        <v>778</v>
      </c>
      <c r="G759" s="33" t="inlineStr">
        <is>
          <t>million km</t>
        </is>
      </c>
      <c r="H759" s="35" t="inlineStr">
        <is>
          <t>Hard</t>
        </is>
      </c>
      <c r="I759" s="33" t="inlineStr">
        <is>
          <t>NASA</t>
        </is>
      </c>
      <c r="J759" s="35" t="n"/>
      <c r="K759" s="33" t="inlineStr">
        <is>
          <t>Added Oct 2026. Spot check before this day goes live.</t>
        </is>
      </c>
      <c r="L759" s="35">
        <f>COUNTIFS($A$2:$A$1501,A759,$D$2:$D$1501,D759)</f>
        <v/>
      </c>
    </row>
    <row r="760">
      <c r="A760" s="35" t="n">
        <v>152</v>
      </c>
      <c r="B760" s="41" t="n">
        <v>46451</v>
      </c>
      <c r="C760" s="35" t="n">
        <v>4</v>
      </c>
      <c r="D760" s="33" t="inlineStr">
        <is>
          <t>Buildings and Engineering</t>
        </is>
      </c>
      <c r="E760" s="36" t="inlineStr">
        <is>
          <t>How many tonnes of steel are in the Sydney Harbour Bridge's arch?</t>
        </is>
      </c>
      <c r="F760" s="42" t="n">
        <v>39000</v>
      </c>
      <c r="G760" s="33" t="inlineStr">
        <is>
          <t>tonnes</t>
        </is>
      </c>
      <c r="H760" s="35" t="inlineStr">
        <is>
          <t>Hard</t>
        </is>
      </c>
      <c r="I760" s="33" t="inlineStr">
        <is>
          <t>NSW Government</t>
        </is>
      </c>
      <c r="J760" s="35" t="n"/>
      <c r="K760" s="33" t="inlineStr">
        <is>
          <t>Added Oct 2026. Spot check before this day goes live.</t>
        </is>
      </c>
      <c r="L760" s="35">
        <f>COUNTIFS($A$2:$A$1501,A760,$D$2:$D$1501,D760)</f>
        <v/>
      </c>
    </row>
    <row r="761">
      <c r="A761" s="35" t="n">
        <v>152</v>
      </c>
      <c r="B761" s="41" t="n">
        <v>46451</v>
      </c>
      <c r="C761" s="35" t="n">
        <v>5</v>
      </c>
      <c r="D761" s="33" t="inlineStr">
        <is>
          <t>Distance of the Day</t>
        </is>
      </c>
      <c r="E761" s="36" t="inlineStr">
        <is>
          <t>How far is it in a straight line from Mumbai to Colombo?</t>
        </is>
      </c>
      <c r="F761" s="42" t="n">
        <v>1550</v>
      </c>
      <c r="G761" s="33" t="inlineStr">
        <is>
          <t>km</t>
        </is>
      </c>
      <c r="H761" s="35" t="inlineStr">
        <is>
          <t>Medium</t>
        </is>
      </c>
      <c r="I761" s="33" t="inlineStr">
        <is>
          <t>Computed great-circle distance (city centre to city centre)</t>
        </is>
      </c>
      <c r="J761" s="35" t="n"/>
      <c r="K761" s="33" t="n"/>
      <c r="L761" s="35">
        <f>COUNTIFS($A$2:$A$1501,A761,$D$2:$D$1501,D761)</f>
        <v/>
      </c>
    </row>
    <row r="762">
      <c r="A762" s="35" t="n">
        <v>153</v>
      </c>
      <c r="B762" s="41" t="n">
        <v>46452</v>
      </c>
      <c r="C762" s="35" t="n">
        <v>1</v>
      </c>
      <c r="D762" s="33" t="inlineStr">
        <is>
          <t>Movies, Music and Games</t>
        </is>
      </c>
      <c r="E762" s="36" t="inlineStr">
        <is>
          <t>How many seasons of Friends were made?</t>
        </is>
      </c>
      <c r="F762" s="42" t="n">
        <v>10</v>
      </c>
      <c r="G762" s="33" t="inlineStr">
        <is>
          <t>seasons</t>
        </is>
      </c>
      <c r="H762" s="35" t="inlineStr">
        <is>
          <t>Easy</t>
        </is>
      </c>
      <c r="I762" s="33" t="inlineStr">
        <is>
          <t>Warner Bros. Television</t>
        </is>
      </c>
      <c r="J762" s="35" t="n"/>
      <c r="K762" s="33" t="inlineStr">
        <is>
          <t>Added Oct 2026. Spot check before this day goes live.</t>
        </is>
      </c>
      <c r="L762" s="35">
        <f>COUNTIFS($A$2:$A$1501,A762,$D$2:$D$1501,D762)</f>
        <v/>
      </c>
    </row>
    <row r="763">
      <c r="A763" s="35" t="n">
        <v>153</v>
      </c>
      <c r="B763" s="41" t="n">
        <v>46452</v>
      </c>
      <c r="C763" s="35" t="n">
        <v>2</v>
      </c>
      <c r="D763" s="33" t="inlineStr">
        <is>
          <t>History</t>
        </is>
      </c>
      <c r="E763" s="36" t="inlineStr">
        <is>
          <t>How old was Tutankhamun when he died?</t>
        </is>
      </c>
      <c r="F763" s="42" t="n">
        <v>19</v>
      </c>
      <c r="G763" s="33" t="inlineStr">
        <is>
          <t>years</t>
        </is>
      </c>
      <c r="H763" s="35" t="inlineStr">
        <is>
          <t>Medium</t>
        </is>
      </c>
      <c r="I763" s="33" t="inlineStr">
        <is>
          <t>Britannica</t>
        </is>
      </c>
      <c r="J763" s="35" t="n"/>
      <c r="K763" s="33" t="inlineStr">
        <is>
          <t>Added Oct 2026. Spot check before this day goes live.</t>
        </is>
      </c>
      <c r="L763" s="35">
        <f>COUNTIFS($A$2:$A$1501,A763,$D$2:$D$1501,D763)</f>
        <v/>
      </c>
    </row>
    <row r="764">
      <c r="A764" s="35" t="n">
        <v>153</v>
      </c>
      <c r="B764" s="41" t="n">
        <v>46452</v>
      </c>
      <c r="C764" s="35" t="n">
        <v>3</v>
      </c>
      <c r="D764" s="33" t="inlineStr">
        <is>
          <t>Food and Everyday Life</t>
        </is>
      </c>
      <c r="E764" s="36" t="inlineStr">
        <is>
          <t>How many varieties of apples are grown around the world?</t>
        </is>
      </c>
      <c r="F764" s="42" t="n">
        <v>7500</v>
      </c>
      <c r="G764" s="33" t="inlineStr">
        <is>
          <t>varieties</t>
        </is>
      </c>
      <c r="H764" s="35" t="inlineStr">
        <is>
          <t>Hard</t>
        </is>
      </c>
      <c r="I764" s="33" t="inlineStr">
        <is>
          <t>University of Illinois Extension</t>
        </is>
      </c>
      <c r="J764" s="35" t="n"/>
      <c r="K764" s="33" t="inlineStr">
        <is>
          <t>Added Oct 2026. Spot check before this day goes live.</t>
        </is>
      </c>
      <c r="L764" s="35">
        <f>COUNTIFS($A$2:$A$1501,A764,$D$2:$D$1501,D764)</f>
        <v/>
      </c>
    </row>
    <row r="765">
      <c r="A765" s="35" t="n">
        <v>153</v>
      </c>
      <c r="B765" s="41" t="n">
        <v>46452</v>
      </c>
      <c r="C765" s="35" t="n">
        <v>4</v>
      </c>
      <c r="D765" s="33" t="inlineStr">
        <is>
          <t>Geography</t>
        </is>
      </c>
      <c r="E765" s="36" t="inlineStr">
        <is>
          <t>How big is the Mediterranean Sea?</t>
        </is>
      </c>
      <c r="F765" s="42" t="n">
        <v>2500000</v>
      </c>
      <c r="G765" s="33" t="inlineStr">
        <is>
          <t>km²</t>
        </is>
      </c>
      <c r="H765" s="35" t="inlineStr">
        <is>
          <t>Hard</t>
        </is>
      </c>
      <c r="I765" s="33" t="inlineStr">
        <is>
          <t>Britannica</t>
        </is>
      </c>
      <c r="J765" s="35" t="n"/>
      <c r="K765" s="33" t="inlineStr">
        <is>
          <t>Added Oct 2026. Spot check before this day goes live.</t>
        </is>
      </c>
      <c r="L765" s="35">
        <f>COUNTIFS($A$2:$A$1501,A765,$D$2:$D$1501,D765)</f>
        <v/>
      </c>
    </row>
    <row r="766">
      <c r="A766" s="35" t="n">
        <v>153</v>
      </c>
      <c r="B766" s="41" t="n">
        <v>46452</v>
      </c>
      <c r="C766" s="35" t="n">
        <v>5</v>
      </c>
      <c r="D766" s="33" t="inlineStr">
        <is>
          <t>Distance of the Day</t>
        </is>
      </c>
      <c r="E766" s="36" t="inlineStr">
        <is>
          <t>How far is it in a straight line from Fredericton to Mumbai?</t>
        </is>
      </c>
      <c r="F766" s="42" t="n">
        <v>11710</v>
      </c>
      <c r="G766" s="33" t="inlineStr">
        <is>
          <t>km</t>
        </is>
      </c>
      <c r="H766" s="35" t="inlineStr">
        <is>
          <t>Hard</t>
        </is>
      </c>
      <c r="I766" s="33" t="inlineStr">
        <is>
          <t>Computed great-circle distance (city centre to city centre)</t>
        </is>
      </c>
      <c r="J766" s="35" t="n"/>
      <c r="K766" s="33" t="n"/>
      <c r="L766" s="35">
        <f>COUNTIFS($A$2:$A$1501,A766,$D$2:$D$1501,D766)</f>
        <v/>
      </c>
    </row>
    <row r="767">
      <c r="A767" s="35" t="n">
        <v>154</v>
      </c>
      <c r="B767" s="41" t="n">
        <v>46453</v>
      </c>
      <c r="C767" s="35" t="n">
        <v>1</v>
      </c>
      <c r="D767" s="33" t="inlineStr">
        <is>
          <t>Sports</t>
        </is>
      </c>
      <c r="E767" s="36" t="inlineStr">
        <is>
          <t>How long is one lap of a standard outdoor running track?</t>
        </is>
      </c>
      <c r="F767" s="42" t="n">
        <v>400</v>
      </c>
      <c r="G767" s="33" t="inlineStr">
        <is>
          <t>metres</t>
        </is>
      </c>
      <c r="H767" s="35" t="inlineStr">
        <is>
          <t>Easy</t>
        </is>
      </c>
      <c r="I767" s="33" t="inlineStr">
        <is>
          <t>World Athletics</t>
        </is>
      </c>
      <c r="J767" s="35" t="n"/>
      <c r="K767" s="33" t="inlineStr">
        <is>
          <t>Added Oct 2026. Spot check before this day goes live.</t>
        </is>
      </c>
      <c r="L767" s="35">
        <f>COUNTIFS($A$2:$A$1501,A767,$D$2:$D$1501,D767)</f>
        <v/>
      </c>
    </row>
    <row r="768">
      <c r="A768" s="35" t="n">
        <v>154</v>
      </c>
      <c r="B768" s="41" t="n">
        <v>46453</v>
      </c>
      <c r="C768" s="35" t="n">
        <v>2</v>
      </c>
      <c r="D768" s="33" t="inlineStr">
        <is>
          <t>Space and Science</t>
        </is>
      </c>
      <c r="E768" s="36" t="inlineStr">
        <is>
          <t>How long did Yuri Gagarin's first human spaceflight last?</t>
        </is>
      </c>
      <c r="F768" s="42" t="n">
        <v>108</v>
      </c>
      <c r="G768" s="33" t="inlineStr">
        <is>
          <t>minutes</t>
        </is>
      </c>
      <c r="H768" s="35" t="inlineStr">
        <is>
          <t>Medium</t>
        </is>
      </c>
      <c r="I768" s="33" t="inlineStr">
        <is>
          <t>Roscosmos / ESA</t>
        </is>
      </c>
      <c r="J768" s="35" t="n"/>
      <c r="K768" s="33" t="inlineStr">
        <is>
          <t>Added Oct 2026. Spot check before this day goes live.</t>
        </is>
      </c>
      <c r="L768" s="35">
        <f>COUNTIFS($A$2:$A$1501,A768,$D$2:$D$1501,D768)</f>
        <v/>
      </c>
    </row>
    <row r="769">
      <c r="A769" s="35" t="n">
        <v>154</v>
      </c>
      <c r="B769" s="41" t="n">
        <v>46453</v>
      </c>
      <c r="C769" s="35" t="n">
        <v>3</v>
      </c>
      <c r="D769" s="33" t="inlineStr">
        <is>
          <t>Human Body</t>
        </is>
      </c>
      <c r="E769" s="36" t="inlineStr">
        <is>
          <t>How many breaths per minute does an adult take at rest?</t>
        </is>
      </c>
      <c r="F769" s="42" t="n">
        <v>15</v>
      </c>
      <c r="G769" s="33" t="inlineStr">
        <is>
          <t>breaths</t>
        </is>
      </c>
      <c r="H769" s="35" t="inlineStr">
        <is>
          <t>Medium</t>
        </is>
      </c>
      <c r="I769" s="33" t="inlineStr">
        <is>
          <t>Cleveland Clinic</t>
        </is>
      </c>
      <c r="J769" s="35" t="n"/>
      <c r="K769" s="33" t="inlineStr">
        <is>
          <t>Added Oct 2026. Spot check before this day goes live.</t>
        </is>
      </c>
      <c r="L769" s="35">
        <f>COUNTIFS($A$2:$A$1501,A769,$D$2:$D$1501,D769)</f>
        <v/>
      </c>
    </row>
    <row r="770">
      <c r="A770" s="35" t="n">
        <v>154</v>
      </c>
      <c r="B770" s="41" t="n">
        <v>46453</v>
      </c>
      <c r="C770" s="35" t="n">
        <v>4</v>
      </c>
      <c r="D770" s="33" t="inlineStr">
        <is>
          <t>Animals and Nature</t>
        </is>
      </c>
      <c r="E770" s="36" t="inlineStr">
        <is>
          <t>How high has a bar-headed goose been recorded flying?</t>
        </is>
      </c>
      <c r="F770" s="42" t="n">
        <v>7290</v>
      </c>
      <c r="G770" s="33" t="inlineStr">
        <is>
          <t>metres</t>
        </is>
      </c>
      <c r="H770" s="35" t="inlineStr">
        <is>
          <t>Hard</t>
        </is>
      </c>
      <c r="I770" s="33" t="inlineStr">
        <is>
          <t>PNAS (2011)</t>
        </is>
      </c>
      <c r="J770" s="35" t="n"/>
      <c r="K770" s="33" t="inlineStr">
        <is>
          <t>Added Oct 2026. Spot check before this day goes live.</t>
        </is>
      </c>
      <c r="L770" s="35">
        <f>COUNTIFS($A$2:$A$1501,A770,$D$2:$D$1501,D770)</f>
        <v/>
      </c>
    </row>
    <row r="771">
      <c r="A771" s="35" t="n">
        <v>154</v>
      </c>
      <c r="B771" s="41" t="n">
        <v>46453</v>
      </c>
      <c r="C771" s="35" t="n">
        <v>5</v>
      </c>
      <c r="D771" s="33" t="inlineStr">
        <is>
          <t>Distance of the Day</t>
        </is>
      </c>
      <c r="E771" s="36" t="inlineStr">
        <is>
          <t>How far is it in a straight line from Chicago to Atlanta?</t>
        </is>
      </c>
      <c r="F771" s="42" t="n">
        <v>950</v>
      </c>
      <c r="G771" s="33" t="inlineStr">
        <is>
          <t>km</t>
        </is>
      </c>
      <c r="H771" s="35" t="inlineStr">
        <is>
          <t>Easy</t>
        </is>
      </c>
      <c r="I771" s="33" t="inlineStr">
        <is>
          <t>Computed great-circle distance (city centre to city centre)</t>
        </is>
      </c>
      <c r="J771" s="35" t="n"/>
      <c r="K771" s="33" t="n"/>
      <c r="L771" s="35">
        <f>COUNTIFS($A$2:$A$1501,A771,$D$2:$D$1501,D771)</f>
        <v/>
      </c>
    </row>
    <row r="772">
      <c r="A772" s="35" t="n">
        <v>155</v>
      </c>
      <c r="B772" s="41" t="n">
        <v>46454</v>
      </c>
      <c r="C772" s="35" t="n">
        <v>1</v>
      </c>
      <c r="D772" s="33" t="inlineStr">
        <is>
          <t>History</t>
        </is>
      </c>
      <c r="E772" s="36" t="inlineStr">
        <is>
          <t>How many countries founded the United Nations?</t>
        </is>
      </c>
      <c r="F772" s="42" t="n">
        <v>51</v>
      </c>
      <c r="G772" s="33" t="inlineStr">
        <is>
          <t>countries</t>
        </is>
      </c>
      <c r="H772" s="35" t="inlineStr">
        <is>
          <t>Medium</t>
        </is>
      </c>
      <c r="I772" s="33" t="inlineStr">
        <is>
          <t>United Nations</t>
        </is>
      </c>
      <c r="J772" s="35" t="n"/>
      <c r="K772" s="33" t="inlineStr">
        <is>
          <t>Added Oct 2026. Spot check before this day goes live.</t>
        </is>
      </c>
      <c r="L772" s="35">
        <f>COUNTIFS($A$2:$A$1501,A772,$D$2:$D$1501,D772)</f>
        <v/>
      </c>
    </row>
    <row r="773">
      <c r="A773" s="35" t="n">
        <v>155</v>
      </c>
      <c r="B773" s="41" t="n">
        <v>46454</v>
      </c>
      <c r="C773" s="35" t="n">
        <v>2</v>
      </c>
      <c r="D773" s="33" t="inlineStr">
        <is>
          <t>Canada</t>
        </is>
      </c>
      <c r="E773" s="36" t="inlineStr">
        <is>
          <t>How hot was the highest temperature ever recorded in Canada, at Lytton, BC?</t>
        </is>
      </c>
      <c r="F773" s="42" t="n">
        <v>49.6</v>
      </c>
      <c r="G773" s="33" t="inlineStr">
        <is>
          <t>°C</t>
        </is>
      </c>
      <c r="H773" s="35" t="inlineStr">
        <is>
          <t>Medium</t>
        </is>
      </c>
      <c r="I773" s="33" t="inlineStr">
        <is>
          <t>Environment and Climate Change Canada</t>
        </is>
      </c>
      <c r="J773" s="35" t="n"/>
      <c r="K773" s="33" t="inlineStr">
        <is>
          <t>Added Oct 2026. Spot check before this day goes live.</t>
        </is>
      </c>
      <c r="L773" s="35">
        <f>COUNTIFS($A$2:$A$1501,A773,$D$2:$D$1501,D773)</f>
        <v/>
      </c>
    </row>
    <row r="774">
      <c r="A774" s="35" t="n">
        <v>155</v>
      </c>
      <c r="B774" s="41" t="n">
        <v>46454</v>
      </c>
      <c r="C774" s="35" t="n">
        <v>3</v>
      </c>
      <c r="D774" s="33" t="inlineStr">
        <is>
          <t>Buildings and Engineering</t>
        </is>
      </c>
      <c r="E774" s="36" t="inlineStr">
        <is>
          <t>How long is the Queen Mary 2 ocean liner?</t>
        </is>
      </c>
      <c r="F774" s="42" t="n">
        <v>345</v>
      </c>
      <c r="G774" s="33" t="inlineStr">
        <is>
          <t>metres</t>
        </is>
      </c>
      <c r="H774" s="35" t="inlineStr">
        <is>
          <t>Hard</t>
        </is>
      </c>
      <c r="I774" s="33" t="inlineStr">
        <is>
          <t>Cunard</t>
        </is>
      </c>
      <c r="J774" s="35" t="n"/>
      <c r="K774" s="33" t="inlineStr">
        <is>
          <t>Added Oct 2026. Spot check before this day goes live.</t>
        </is>
      </c>
      <c r="L774" s="35">
        <f>COUNTIFS($A$2:$A$1501,A774,$D$2:$D$1501,D774)</f>
        <v/>
      </c>
    </row>
    <row r="775">
      <c r="A775" s="35" t="n">
        <v>155</v>
      </c>
      <c r="B775" s="41" t="n">
        <v>46454</v>
      </c>
      <c r="C775" s="35" t="n">
        <v>4</v>
      </c>
      <c r="D775" s="33" t="inlineStr">
        <is>
          <t>Movies, Music and Games</t>
        </is>
      </c>
      <c r="E775" s="36" t="inlineStr">
        <is>
          <t>How wide is Van Gogh's The Starry Night?</t>
        </is>
      </c>
      <c r="F775" s="42" t="n">
        <v>92</v>
      </c>
      <c r="G775" s="33" t="inlineStr">
        <is>
          <t>cm</t>
        </is>
      </c>
      <c r="H775" s="35" t="inlineStr">
        <is>
          <t>Hard</t>
        </is>
      </c>
      <c r="I775" s="33" t="inlineStr">
        <is>
          <t>MoMA</t>
        </is>
      </c>
      <c r="J775" s="35" t="n"/>
      <c r="K775" s="33" t="inlineStr">
        <is>
          <t>Added Oct 2026. Spot check before this day goes live.</t>
        </is>
      </c>
      <c r="L775" s="35">
        <f>COUNTIFS($A$2:$A$1501,A775,$D$2:$D$1501,D775)</f>
        <v/>
      </c>
    </row>
    <row r="776">
      <c r="A776" s="35" t="n">
        <v>155</v>
      </c>
      <c r="B776" s="41" t="n">
        <v>46454</v>
      </c>
      <c r="C776" s="35" t="n">
        <v>5</v>
      </c>
      <c r="D776" s="33" t="inlineStr">
        <is>
          <t>Distance of the Day</t>
        </is>
      </c>
      <c r="E776" s="36" t="inlineStr">
        <is>
          <t>How far is it in a straight line from Atlanta to Punta Cana?</t>
        </is>
      </c>
      <c r="F776" s="42" t="n">
        <v>2320</v>
      </c>
      <c r="G776" s="33" t="inlineStr">
        <is>
          <t>km</t>
        </is>
      </c>
      <c r="H776" s="35" t="inlineStr">
        <is>
          <t>Medium</t>
        </is>
      </c>
      <c r="I776" s="33" t="inlineStr">
        <is>
          <t>Computed great-circle distance (city centre to city centre)</t>
        </is>
      </c>
      <c r="J776" s="35" t="n"/>
      <c r="K776" s="33" t="n"/>
      <c r="L776" s="35">
        <f>COUNTIFS($A$2:$A$1501,A776,$D$2:$D$1501,D776)</f>
        <v/>
      </c>
    </row>
    <row r="777">
      <c r="A777" s="35" t="n">
        <v>156</v>
      </c>
      <c r="B777" s="41" t="n">
        <v>46455</v>
      </c>
      <c r="C777" s="35" t="n">
        <v>1</v>
      </c>
      <c r="D777" s="33" t="inlineStr">
        <is>
          <t>Sports</t>
        </is>
      </c>
      <c r="E777" s="36" t="inlineStr">
        <is>
          <t>How many players are on a rugby union team on the field?</t>
        </is>
      </c>
      <c r="F777" s="42" t="n">
        <v>15</v>
      </c>
      <c r="G777" s="33" t="inlineStr">
        <is>
          <t>players</t>
        </is>
      </c>
      <c r="H777" s="35" t="inlineStr">
        <is>
          <t>Easy</t>
        </is>
      </c>
      <c r="I777" s="33" t="inlineStr">
        <is>
          <t>World Rugby</t>
        </is>
      </c>
      <c r="J777" s="35" t="n"/>
      <c r="K777" s="33" t="inlineStr">
        <is>
          <t>Added Oct 2026. Spot check before this day goes live.</t>
        </is>
      </c>
      <c r="L777" s="35">
        <f>COUNTIFS($A$2:$A$1501,A777,$D$2:$D$1501,D777)</f>
        <v/>
      </c>
    </row>
    <row r="778">
      <c r="A778" s="35" t="n">
        <v>156</v>
      </c>
      <c r="B778" s="41" t="n">
        <v>46455</v>
      </c>
      <c r="C778" s="35" t="n">
        <v>2</v>
      </c>
      <c r="D778" s="33" t="inlineStr">
        <is>
          <t>Geography</t>
        </is>
      </c>
      <c r="E778" s="36" t="inlineStr">
        <is>
          <t>How long is the River Thames?</t>
        </is>
      </c>
      <c r="F778" s="42" t="n">
        <v>346</v>
      </c>
      <c r="G778" s="33" t="inlineStr">
        <is>
          <t>km</t>
        </is>
      </c>
      <c r="H778" s="35" t="inlineStr">
        <is>
          <t>Medium</t>
        </is>
      </c>
      <c r="I778" s="33" t="inlineStr">
        <is>
          <t>Environment Agency (UK)</t>
        </is>
      </c>
      <c r="J778" s="35" t="n"/>
      <c r="K778" s="33" t="inlineStr">
        <is>
          <t>Added Oct 2026. Spot check before this day goes live.</t>
        </is>
      </c>
      <c r="L778" s="35">
        <f>COUNTIFS($A$2:$A$1501,A778,$D$2:$D$1501,D778)</f>
        <v/>
      </c>
    </row>
    <row r="779">
      <c r="A779" s="35" t="n">
        <v>156</v>
      </c>
      <c r="B779" s="41" t="n">
        <v>46455</v>
      </c>
      <c r="C779" s="35" t="n">
        <v>3</v>
      </c>
      <c r="D779" s="33" t="inlineStr">
        <is>
          <t>Animals and Nature</t>
        </is>
      </c>
      <c r="E779" s="36" t="inlineStr">
        <is>
          <t>How many years does a typical dog live?</t>
        </is>
      </c>
      <c r="F779" s="42" t="n">
        <v>12</v>
      </c>
      <c r="G779" s="33" t="inlineStr">
        <is>
          <t>years</t>
        </is>
      </c>
      <c r="H779" s="35" t="inlineStr">
        <is>
          <t>Medium</t>
        </is>
      </c>
      <c r="I779" s="33" t="inlineStr">
        <is>
          <t>American Kennel Club</t>
        </is>
      </c>
      <c r="J779" s="35" t="n"/>
      <c r="K779" s="33" t="inlineStr">
        <is>
          <t>Added Oct 2026. Spot check before this day goes live.</t>
        </is>
      </c>
      <c r="L779" s="35">
        <f>COUNTIFS($A$2:$A$1501,A779,$D$2:$D$1501,D779)</f>
        <v/>
      </c>
    </row>
    <row r="780">
      <c r="A780" s="35" t="n">
        <v>156</v>
      </c>
      <c r="B780" s="41" t="n">
        <v>46455</v>
      </c>
      <c r="C780" s="35" t="n">
        <v>4</v>
      </c>
      <c r="D780" s="33" t="inlineStr">
        <is>
          <t>Food and Everyday Life</t>
        </is>
      </c>
      <c r="E780" s="36" t="inlineStr">
        <is>
          <t>How long a line can one standard pencil draw, by the famous estimate?</t>
        </is>
      </c>
      <c r="F780" s="42" t="n">
        <v>56</v>
      </c>
      <c r="G780" s="33" t="inlineStr">
        <is>
          <t>km</t>
        </is>
      </c>
      <c r="H780" s="35" t="inlineStr">
        <is>
          <t>Hard</t>
        </is>
      </c>
      <c r="I780" s="33" t="inlineStr">
        <is>
          <t>Dixon Ticonderoga</t>
        </is>
      </c>
      <c r="J780" s="35" t="n"/>
      <c r="K780" s="33" t="inlineStr">
        <is>
          <t>Added Oct 2026. Spot check before this day goes live.</t>
        </is>
      </c>
      <c r="L780" s="35">
        <f>COUNTIFS($A$2:$A$1501,A780,$D$2:$D$1501,D780)</f>
        <v/>
      </c>
    </row>
    <row r="781">
      <c r="A781" s="35" t="n">
        <v>156</v>
      </c>
      <c r="B781" s="41" t="n">
        <v>46455</v>
      </c>
      <c r="C781" s="35" t="n">
        <v>5</v>
      </c>
      <c r="D781" s="33" t="inlineStr">
        <is>
          <t>Distance of the Day</t>
        </is>
      </c>
      <c r="E781" s="36" t="inlineStr">
        <is>
          <t>How far is it in a straight line from Santiago to Cape Town?</t>
        </is>
      </c>
      <c r="F781" s="42" t="n">
        <v>7940</v>
      </c>
      <c r="G781" s="33" t="inlineStr">
        <is>
          <t>km</t>
        </is>
      </c>
      <c r="H781" s="35" t="inlineStr">
        <is>
          <t>Medium</t>
        </is>
      </c>
      <c r="I781" s="33" t="inlineStr">
        <is>
          <t>Computed great-circle distance (city centre to city centre)</t>
        </is>
      </c>
      <c r="J781" s="35" t="n"/>
      <c r="K781" s="33" t="n"/>
      <c r="L781" s="35">
        <f>COUNTIFS($A$2:$A$1501,A781,$D$2:$D$1501,D781)</f>
        <v/>
      </c>
    </row>
    <row r="782">
      <c r="A782" s="35" t="n">
        <v>157</v>
      </c>
      <c r="B782" s="41" t="n">
        <v>46456</v>
      </c>
      <c r="C782" s="35" t="n">
        <v>1</v>
      </c>
      <c r="D782" s="33" t="inlineStr">
        <is>
          <t>Canada</t>
        </is>
      </c>
      <c r="E782" s="36" t="inlineStr">
        <is>
          <t>How many teams are in the CFL?</t>
        </is>
      </c>
      <c r="F782" s="42" t="n">
        <v>9</v>
      </c>
      <c r="G782" s="33" t="inlineStr">
        <is>
          <t>teams</t>
        </is>
      </c>
      <c r="H782" s="35" t="inlineStr">
        <is>
          <t>Easy</t>
        </is>
      </c>
      <c r="I782" s="33" t="inlineStr">
        <is>
          <t>CFL.ca</t>
        </is>
      </c>
      <c r="J782" s="35" t="n"/>
      <c r="K782" s="33" t="inlineStr">
        <is>
          <t>Added Oct 2026. Spot check before this day goes live.</t>
        </is>
      </c>
      <c r="L782" s="35">
        <f>COUNTIFS($A$2:$A$1501,A782,$D$2:$D$1501,D782)</f>
        <v/>
      </c>
    </row>
    <row r="783">
      <c r="A783" s="35" t="n">
        <v>157</v>
      </c>
      <c r="B783" s="41" t="n">
        <v>46456</v>
      </c>
      <c r="C783" s="35" t="n">
        <v>2</v>
      </c>
      <c r="D783" s="33" t="inlineStr">
        <is>
          <t>Movies, Music and Games</t>
        </is>
      </c>
      <c r="E783" s="36" t="inlineStr">
        <is>
          <t>How long is Parasite (2019)?</t>
        </is>
      </c>
      <c r="F783" s="42" t="n">
        <v>132</v>
      </c>
      <c r="G783" s="33" t="inlineStr">
        <is>
          <t>minutes</t>
        </is>
      </c>
      <c r="H783" s="35" t="inlineStr">
        <is>
          <t>Medium</t>
        </is>
      </c>
      <c r="I783" s="33" t="inlineStr">
        <is>
          <t>IMDb</t>
        </is>
      </c>
      <c r="J783" s="35" t="n"/>
      <c r="K783" s="33" t="inlineStr">
        <is>
          <t>Added Oct 2026. Spot check before this day goes live.</t>
        </is>
      </c>
      <c r="L783" s="35">
        <f>COUNTIFS($A$2:$A$1501,A783,$D$2:$D$1501,D783)</f>
        <v/>
      </c>
    </row>
    <row r="784">
      <c r="A784" s="35" t="n">
        <v>157</v>
      </c>
      <c r="B784" s="41" t="n">
        <v>46456</v>
      </c>
      <c r="C784" s="35" t="n">
        <v>3</v>
      </c>
      <c r="D784" s="33" t="inlineStr">
        <is>
          <t>History</t>
        </is>
      </c>
      <c r="E784" s="36" t="inlineStr">
        <is>
          <t>How many articles are in the Universal Declaration of Human Rights?</t>
        </is>
      </c>
      <c r="F784" s="42" t="n">
        <v>30</v>
      </c>
      <c r="G784" s="33" t="inlineStr">
        <is>
          <t>articles</t>
        </is>
      </c>
      <c r="H784" s="35" t="inlineStr">
        <is>
          <t>Hard</t>
        </is>
      </c>
      <c r="I784" s="33" t="inlineStr">
        <is>
          <t>United Nations</t>
        </is>
      </c>
      <c r="J784" s="35" t="n"/>
      <c r="K784" s="33" t="inlineStr">
        <is>
          <t>Added Oct 2026. Spot check before this day goes live.</t>
        </is>
      </c>
      <c r="L784" s="35">
        <f>COUNTIFS($A$2:$A$1501,A784,$D$2:$D$1501,D784)</f>
        <v/>
      </c>
    </row>
    <row r="785">
      <c r="A785" s="35" t="n">
        <v>157</v>
      </c>
      <c r="B785" s="41" t="n">
        <v>46456</v>
      </c>
      <c r="C785" s="35" t="n">
        <v>4</v>
      </c>
      <c r="D785" s="33" t="inlineStr">
        <is>
          <t>Space and Science</t>
        </is>
      </c>
      <c r="E785" s="36" t="inlineStr">
        <is>
          <t>What is the diameter of Mercury?</t>
        </is>
      </c>
      <c r="F785" s="42" t="n">
        <v>4879</v>
      </c>
      <c r="G785" s="33" t="inlineStr">
        <is>
          <t>km</t>
        </is>
      </c>
      <c r="H785" s="35" t="inlineStr">
        <is>
          <t>Hard</t>
        </is>
      </c>
      <c r="I785" s="33" t="inlineStr">
        <is>
          <t>NASA</t>
        </is>
      </c>
      <c r="J785" s="35" t="n"/>
      <c r="K785" s="33" t="inlineStr">
        <is>
          <t>Added Oct 2026. Spot check before this day goes live.</t>
        </is>
      </c>
      <c r="L785" s="35">
        <f>COUNTIFS($A$2:$A$1501,A785,$D$2:$D$1501,D785)</f>
        <v/>
      </c>
    </row>
    <row r="786">
      <c r="A786" s="35" t="n">
        <v>157</v>
      </c>
      <c r="B786" s="41" t="n">
        <v>46456</v>
      </c>
      <c r="C786" s="35" t="n">
        <v>5</v>
      </c>
      <c r="D786" s="33" t="inlineStr">
        <is>
          <t>Distance of the Day</t>
        </is>
      </c>
      <c r="E786" s="36" t="inlineStr">
        <is>
          <t>How far is it in a straight line from Fredericton to Mecca?</t>
        </is>
      </c>
      <c r="F786" s="42" t="n">
        <v>9510</v>
      </c>
      <c r="G786" s="33" t="inlineStr">
        <is>
          <t>km</t>
        </is>
      </c>
      <c r="H786" s="35" t="inlineStr">
        <is>
          <t>Hard</t>
        </is>
      </c>
      <c r="I786" s="33" t="inlineStr">
        <is>
          <t>Computed great-circle distance (city centre to city centre)</t>
        </is>
      </c>
      <c r="J786" s="35" t="n"/>
      <c r="K786" s="33" t="n"/>
      <c r="L786" s="35">
        <f>COUNTIFS($A$2:$A$1501,A786,$D$2:$D$1501,D786)</f>
        <v/>
      </c>
    </row>
    <row r="787">
      <c r="A787" s="35" t="n">
        <v>158</v>
      </c>
      <c r="B787" s="41" t="n">
        <v>46457</v>
      </c>
      <c r="C787" s="35" t="n">
        <v>1</v>
      </c>
      <c r="D787" s="33" t="inlineStr">
        <is>
          <t>Sports</t>
        </is>
      </c>
      <c r="E787" s="36" t="inlineStr">
        <is>
          <t>How high is a tennis net at the centre?</t>
        </is>
      </c>
      <c r="F787" s="42" t="n">
        <v>36</v>
      </c>
      <c r="G787" s="33" t="inlineStr">
        <is>
          <t>inches</t>
        </is>
      </c>
      <c r="H787" s="35" t="inlineStr">
        <is>
          <t>Medium</t>
        </is>
      </c>
      <c r="I787" s="33" t="inlineStr">
        <is>
          <t>ITF Rules of Tennis</t>
        </is>
      </c>
      <c r="J787" s="35" t="n"/>
      <c r="K787" s="33" t="inlineStr">
        <is>
          <t>Added Oct 2026. Spot check before this day goes live.</t>
        </is>
      </c>
      <c r="L787" s="35">
        <f>COUNTIFS($A$2:$A$1501,A787,$D$2:$D$1501,D787)</f>
        <v/>
      </c>
    </row>
    <row r="788">
      <c r="A788" s="35" t="n">
        <v>158</v>
      </c>
      <c r="B788" s="41" t="n">
        <v>46457</v>
      </c>
      <c r="C788" s="35" t="n">
        <v>2</v>
      </c>
      <c r="D788" s="33" t="inlineStr">
        <is>
          <t>Buildings and Engineering</t>
        </is>
      </c>
      <c r="E788" s="36" t="inlineStr">
        <is>
          <t>How many days did it take to build the Empire State Building?</t>
        </is>
      </c>
      <c r="F788" s="42" t="n">
        <v>410</v>
      </c>
      <c r="G788" s="33" t="inlineStr">
        <is>
          <t>days</t>
        </is>
      </c>
      <c r="H788" s="35" t="inlineStr">
        <is>
          <t>Medium</t>
        </is>
      </c>
      <c r="I788" s="33" t="inlineStr">
        <is>
          <t>Empire State Building</t>
        </is>
      </c>
      <c r="J788" s="35" t="n"/>
      <c r="K788" s="33" t="inlineStr">
        <is>
          <t>Added Oct 2026. Spot check before this day goes live.</t>
        </is>
      </c>
      <c r="L788" s="35">
        <f>COUNTIFS($A$2:$A$1501,A788,$D$2:$D$1501,D788)</f>
        <v/>
      </c>
    </row>
    <row r="789">
      <c r="A789" s="35" t="n">
        <v>158</v>
      </c>
      <c r="B789" s="41" t="n">
        <v>46457</v>
      </c>
      <c r="C789" s="35" t="n">
        <v>3</v>
      </c>
      <c r="D789" s="33" t="inlineStr">
        <is>
          <t>Human Body</t>
        </is>
      </c>
      <c r="E789" s="36" t="inlineStr">
        <is>
          <t>How many bones are in the human spine of an adult, after some fuse?</t>
        </is>
      </c>
      <c r="F789" s="42" t="n">
        <v>26</v>
      </c>
      <c r="G789" s="33" t="inlineStr">
        <is>
          <t>bones</t>
        </is>
      </c>
      <c r="H789" s="35" t="inlineStr">
        <is>
          <t>Hard</t>
        </is>
      </c>
      <c r="I789" s="33" t="inlineStr">
        <is>
          <t>Britannica</t>
        </is>
      </c>
      <c r="J789" s="35" t="n"/>
      <c r="K789" s="33" t="inlineStr">
        <is>
          <t>Added Oct 2026. Spot check before this day goes live.</t>
        </is>
      </c>
      <c r="L789" s="35">
        <f>COUNTIFS($A$2:$A$1501,A789,$D$2:$D$1501,D789)</f>
        <v/>
      </c>
    </row>
    <row r="790">
      <c r="A790" s="35" t="n">
        <v>158</v>
      </c>
      <c r="B790" s="41" t="n">
        <v>46457</v>
      </c>
      <c r="C790" s="35" t="n">
        <v>4</v>
      </c>
      <c r="D790" s="33" t="inlineStr">
        <is>
          <t>Food and Everyday Life</t>
        </is>
      </c>
      <c r="E790" s="36" t="inlineStr">
        <is>
          <t>How spicy is a Carolina Reaper pepper, on average?</t>
        </is>
      </c>
      <c r="F790" s="42" t="n">
        <v>1.6</v>
      </c>
      <c r="G790" s="33" t="inlineStr">
        <is>
          <t>million Scoville heat units</t>
        </is>
      </c>
      <c r="H790" s="35" t="inlineStr">
        <is>
          <t>Hard</t>
        </is>
      </c>
      <c r="I790" s="33" t="inlineStr">
        <is>
          <t>Guinness World Records</t>
        </is>
      </c>
      <c r="J790" s="35" t="n"/>
      <c r="K790" s="33" t="inlineStr">
        <is>
          <t>Added Oct 2026. Spot check before this day goes live.</t>
        </is>
      </c>
      <c r="L790" s="35">
        <f>COUNTIFS($A$2:$A$1501,A790,$D$2:$D$1501,D790)</f>
        <v/>
      </c>
    </row>
    <row r="791">
      <c r="A791" s="35" t="n">
        <v>158</v>
      </c>
      <c r="B791" s="41" t="n">
        <v>46457</v>
      </c>
      <c r="C791" s="35" t="n">
        <v>5</v>
      </c>
      <c r="D791" s="33" t="inlineStr">
        <is>
          <t>Distance of the Day</t>
        </is>
      </c>
      <c r="E791" s="36" t="inlineStr">
        <is>
          <t>How far is it in a straight line from Rio de Janeiro to São Paulo?</t>
        </is>
      </c>
      <c r="F791" s="42" t="n">
        <v>360</v>
      </c>
      <c r="G791" s="33" t="inlineStr">
        <is>
          <t>km</t>
        </is>
      </c>
      <c r="H791" s="35" t="inlineStr">
        <is>
          <t>Easy</t>
        </is>
      </c>
      <c r="I791" s="33" t="inlineStr">
        <is>
          <t>Computed great-circle distance (city centre to city centre)</t>
        </is>
      </c>
      <c r="J791" s="35" t="n"/>
      <c r="K791" s="33" t="n"/>
      <c r="L791" s="35">
        <f>COUNTIFS($A$2:$A$1501,A791,$D$2:$D$1501,D791)</f>
        <v/>
      </c>
    </row>
    <row r="792">
      <c r="A792" s="35" t="n">
        <v>159</v>
      </c>
      <c r="B792" s="41" t="n">
        <v>46458</v>
      </c>
      <c r="C792" s="35" t="n">
        <v>1</v>
      </c>
      <c r="D792" s="33" t="inlineStr">
        <is>
          <t>Canada</t>
        </is>
      </c>
      <c r="E792" s="36" t="inlineStr">
        <is>
          <t>How many NHL teams are based in Canada?</t>
        </is>
      </c>
      <c r="F792" s="42" t="n">
        <v>7</v>
      </c>
      <c r="G792" s="33" t="inlineStr">
        <is>
          <t>teams</t>
        </is>
      </c>
      <c r="H792" s="35" t="inlineStr">
        <is>
          <t>Easy</t>
        </is>
      </c>
      <c r="I792" s="33" t="inlineStr">
        <is>
          <t>NHL.com</t>
        </is>
      </c>
      <c r="J792" s="35" t="n"/>
      <c r="K792" s="33" t="inlineStr">
        <is>
          <t>Added Oct 2026. Spot check before this day goes live.</t>
        </is>
      </c>
      <c r="L792" s="35">
        <f>COUNTIFS($A$2:$A$1501,A792,$D$2:$D$1501,D792)</f>
        <v/>
      </c>
    </row>
    <row r="793">
      <c r="A793" s="35" t="n">
        <v>159</v>
      </c>
      <c r="B793" s="41" t="n">
        <v>46458</v>
      </c>
      <c r="C793" s="35" t="n">
        <v>2</v>
      </c>
      <c r="D793" s="33" t="inlineStr">
        <is>
          <t>Space and Science</t>
        </is>
      </c>
      <c r="E793" s="36" t="inlineStr">
        <is>
          <t>How many constellations are officially recognized?</t>
        </is>
      </c>
      <c r="F793" s="42" t="n">
        <v>88</v>
      </c>
      <c r="G793" s="33" t="inlineStr">
        <is>
          <t>constellations</t>
        </is>
      </c>
      <c r="H793" s="35" t="inlineStr">
        <is>
          <t>Medium</t>
        </is>
      </c>
      <c r="I793" s="33" t="inlineStr">
        <is>
          <t>International Astronomical Union</t>
        </is>
      </c>
      <c r="J793" s="35" t="n"/>
      <c r="K793" s="33" t="inlineStr">
        <is>
          <t>Added Oct 2026. Spot check before this day goes live.</t>
        </is>
      </c>
      <c r="L793" s="35">
        <f>COUNTIFS($A$2:$A$1501,A793,$D$2:$D$1501,D793)</f>
        <v/>
      </c>
    </row>
    <row r="794">
      <c r="A794" s="35" t="n">
        <v>159</v>
      </c>
      <c r="B794" s="41" t="n">
        <v>46458</v>
      </c>
      <c r="C794" s="35" t="n">
        <v>3</v>
      </c>
      <c r="D794" s="33" t="inlineStr">
        <is>
          <t>Animals and Nature</t>
        </is>
      </c>
      <c r="E794" s="36" t="inlineStr">
        <is>
          <t>How many chambers does a fish heart have?</t>
        </is>
      </c>
      <c r="F794" s="42" t="n">
        <v>2</v>
      </c>
      <c r="G794" s="33" t="inlineStr">
        <is>
          <t>chambers</t>
        </is>
      </c>
      <c r="H794" s="35" t="inlineStr">
        <is>
          <t>Medium</t>
        </is>
      </c>
      <c r="I794" s="33" t="inlineStr">
        <is>
          <t>Britannica</t>
        </is>
      </c>
      <c r="J794" s="35" t="n"/>
      <c r="K794" s="33" t="inlineStr">
        <is>
          <t>Added Oct 2026. Spot check before this day goes live.</t>
        </is>
      </c>
      <c r="L794" s="35">
        <f>COUNTIFS($A$2:$A$1501,A794,$D$2:$D$1501,D794)</f>
        <v/>
      </c>
    </row>
    <row r="795">
      <c r="A795" s="35" t="n">
        <v>159</v>
      </c>
      <c r="B795" s="41" t="n">
        <v>46458</v>
      </c>
      <c r="C795" s="35" t="n">
        <v>4</v>
      </c>
      <c r="D795" s="33" t="inlineStr">
        <is>
          <t>History</t>
        </is>
      </c>
      <c r="E795" s="36" t="inlineStr">
        <is>
          <t>How tall was the Lighthouse of Alexandria?</t>
        </is>
      </c>
      <c r="F795" s="42" t="n">
        <v>100</v>
      </c>
      <c r="G795" s="33" t="inlineStr">
        <is>
          <t>metres</t>
        </is>
      </c>
      <c r="H795" s="35" t="inlineStr">
        <is>
          <t>Hard</t>
        </is>
      </c>
      <c r="I795" s="33" t="inlineStr">
        <is>
          <t>Britannica</t>
        </is>
      </c>
      <c r="J795" s="35" t="n"/>
      <c r="K795" s="33" t="inlineStr">
        <is>
          <t>Added Oct 2026. Spot check before this day goes live.</t>
        </is>
      </c>
      <c r="L795" s="35">
        <f>COUNTIFS($A$2:$A$1501,A795,$D$2:$D$1501,D795)</f>
        <v/>
      </c>
    </row>
    <row r="796">
      <c r="A796" s="35" t="n">
        <v>159</v>
      </c>
      <c r="B796" s="41" t="n">
        <v>46458</v>
      </c>
      <c r="C796" s="35" t="n">
        <v>5</v>
      </c>
      <c r="D796" s="33" t="inlineStr">
        <is>
          <t>Distance of the Day</t>
        </is>
      </c>
      <c r="E796" s="36" t="inlineStr">
        <is>
          <t>How far is it in a straight line from Vancouver to Denver?</t>
        </is>
      </c>
      <c r="F796" s="42" t="n">
        <v>1780</v>
      </c>
      <c r="G796" s="33" t="inlineStr">
        <is>
          <t>km</t>
        </is>
      </c>
      <c r="H796" s="35" t="inlineStr">
        <is>
          <t>Medium</t>
        </is>
      </c>
      <c r="I796" s="33" t="inlineStr">
        <is>
          <t>Computed great-circle distance (city centre to city centre)</t>
        </is>
      </c>
      <c r="J796" s="35" t="n"/>
      <c r="K796" s="33" t="n"/>
      <c r="L796" s="35">
        <f>COUNTIFS($A$2:$A$1501,A796,$D$2:$D$1501,D796)</f>
        <v/>
      </c>
    </row>
    <row r="797">
      <c r="A797" s="35" t="n">
        <v>160</v>
      </c>
      <c r="B797" s="41" t="n">
        <v>46459</v>
      </c>
      <c r="C797" s="35" t="n">
        <v>1</v>
      </c>
      <c r="D797" s="33" t="inlineStr">
        <is>
          <t>Sports</t>
        </is>
      </c>
      <c r="E797" s="36" t="inlineStr">
        <is>
          <t>How many points is a touchdown worth in the NFL?</t>
        </is>
      </c>
      <c r="F797" s="42" t="n">
        <v>6</v>
      </c>
      <c r="G797" s="33" t="inlineStr">
        <is>
          <t>points</t>
        </is>
      </c>
      <c r="H797" s="35" t="inlineStr">
        <is>
          <t>Easy</t>
        </is>
      </c>
      <c r="I797" s="33" t="inlineStr">
        <is>
          <t>NFL rulebook</t>
        </is>
      </c>
      <c r="J797" s="35" t="n"/>
      <c r="K797" s="33" t="inlineStr">
        <is>
          <t>Added Oct 2026. Spot check before this day goes live.</t>
        </is>
      </c>
      <c r="L797" s="35">
        <f>COUNTIFS($A$2:$A$1501,A797,$D$2:$D$1501,D797)</f>
        <v/>
      </c>
    </row>
    <row r="798">
      <c r="A798" s="35" t="n">
        <v>160</v>
      </c>
      <c r="B798" s="41" t="n">
        <v>46459</v>
      </c>
      <c r="C798" s="35" t="n">
        <v>2</v>
      </c>
      <c r="D798" s="33" t="inlineStr">
        <is>
          <t>Movies, Music and Games</t>
        </is>
      </c>
      <c r="E798" s="36" t="inlineStr">
        <is>
          <t>How many episodes of How I Met Your Mother were made?</t>
        </is>
      </c>
      <c r="F798" s="42" t="n">
        <v>208</v>
      </c>
      <c r="G798" s="33" t="inlineStr">
        <is>
          <t>episodes</t>
        </is>
      </c>
      <c r="H798" s="35" t="inlineStr">
        <is>
          <t>Medium</t>
        </is>
      </c>
      <c r="I798" s="33" t="inlineStr">
        <is>
          <t>CBS</t>
        </is>
      </c>
      <c r="J798" s="35" t="n"/>
      <c r="K798" s="33" t="inlineStr">
        <is>
          <t>Added Oct 2026. Spot check before this day goes live.</t>
        </is>
      </c>
      <c r="L798" s="35">
        <f>COUNTIFS($A$2:$A$1501,A798,$D$2:$D$1501,D798)</f>
        <v/>
      </c>
    </row>
    <row r="799">
      <c r="A799" s="35" t="n">
        <v>160</v>
      </c>
      <c r="B799" s="41" t="n">
        <v>46459</v>
      </c>
      <c r="C799" s="35" t="n">
        <v>3</v>
      </c>
      <c r="D799" s="33" t="inlineStr">
        <is>
          <t>Human Body</t>
        </is>
      </c>
      <c r="E799" s="36" t="inlineStr">
        <is>
          <t>How long is the average adult femur?</t>
        </is>
      </c>
      <c r="F799" s="42" t="n">
        <v>48</v>
      </c>
      <c r="G799" s="33" t="inlineStr">
        <is>
          <t>cm</t>
        </is>
      </c>
      <c r="H799" s="35" t="inlineStr">
        <is>
          <t>Hard</t>
        </is>
      </c>
      <c r="I799" s="33" t="inlineStr">
        <is>
          <t>Britannica</t>
        </is>
      </c>
      <c r="J799" s="35" t="n"/>
      <c r="K799" s="33" t="inlineStr">
        <is>
          <t>Added Oct 2026. Spot check before this day goes live.</t>
        </is>
      </c>
      <c r="L799" s="35">
        <f>COUNTIFS($A$2:$A$1501,A799,$D$2:$D$1501,D799)</f>
        <v/>
      </c>
    </row>
    <row r="800">
      <c r="A800" s="35" t="n">
        <v>160</v>
      </c>
      <c r="B800" s="41" t="n">
        <v>46459</v>
      </c>
      <c r="C800" s="35" t="n">
        <v>4</v>
      </c>
      <c r="D800" s="33" t="inlineStr">
        <is>
          <t>Buildings and Engineering</t>
        </is>
      </c>
      <c r="E800" s="36" t="inlineStr">
        <is>
          <t>How many bricks were used to build the Empire State Building?</t>
        </is>
      </c>
      <c r="F800" s="42" t="n">
        <v>10</v>
      </c>
      <c r="G800" s="33" t="inlineStr">
        <is>
          <t>million bricks</t>
        </is>
      </c>
      <c r="H800" s="35" t="inlineStr">
        <is>
          <t>Hard</t>
        </is>
      </c>
      <c r="I800" s="33" t="inlineStr">
        <is>
          <t>Empire State Building</t>
        </is>
      </c>
      <c r="J800" s="35" t="n"/>
      <c r="K800" s="33" t="inlineStr">
        <is>
          <t>Added Oct 2026. Spot check before this day goes live.</t>
        </is>
      </c>
      <c r="L800" s="35">
        <f>COUNTIFS($A$2:$A$1501,A800,$D$2:$D$1501,D800)</f>
        <v/>
      </c>
    </row>
    <row r="801">
      <c r="A801" s="35" t="n">
        <v>160</v>
      </c>
      <c r="B801" s="41" t="n">
        <v>46459</v>
      </c>
      <c r="C801" s="35" t="n">
        <v>5</v>
      </c>
      <c r="D801" s="33" t="inlineStr">
        <is>
          <t>Distance of the Day</t>
        </is>
      </c>
      <c r="E801" s="36" t="inlineStr">
        <is>
          <t>How far is it in a straight line from Fredericton to Santiago?</t>
        </is>
      </c>
      <c r="F801" s="42" t="n">
        <v>8840</v>
      </c>
      <c r="G801" s="33" t="inlineStr">
        <is>
          <t>km</t>
        </is>
      </c>
      <c r="H801" s="35" t="inlineStr">
        <is>
          <t>Hard</t>
        </is>
      </c>
      <c r="I801" s="33" t="inlineStr">
        <is>
          <t>Computed great-circle distance (city centre to city centre)</t>
        </is>
      </c>
      <c r="J801" s="35" t="n"/>
      <c r="K801" s="33" t="n"/>
      <c r="L801" s="35">
        <f>COUNTIFS($A$2:$A$1501,A801,$D$2:$D$1501,D801)</f>
        <v/>
      </c>
    </row>
    <row r="802">
      <c r="A802" s="35" t="n">
        <v>161</v>
      </c>
      <c r="B802" s="41" t="n">
        <v>46460</v>
      </c>
      <c r="C802" s="35" t="n">
        <v>1</v>
      </c>
      <c r="D802" s="33" t="inlineStr">
        <is>
          <t>Geography</t>
        </is>
      </c>
      <c r="E802" s="36" t="inlineStr">
        <is>
          <t>How many Great Lakes are there?</t>
        </is>
      </c>
      <c r="F802" s="42" t="n">
        <v>5</v>
      </c>
      <c r="G802" s="33" t="inlineStr">
        <is>
          <t>lakes</t>
        </is>
      </c>
      <c r="H802" s="35" t="inlineStr">
        <is>
          <t>Easy</t>
        </is>
      </c>
      <c r="I802" s="33" t="inlineStr">
        <is>
          <t>US EPA</t>
        </is>
      </c>
      <c r="J802" s="35" t="n"/>
      <c r="K802" s="33" t="inlineStr">
        <is>
          <t>Added Oct 2026. Spot check before this day goes live.</t>
        </is>
      </c>
      <c r="L802" s="35">
        <f>COUNTIFS($A$2:$A$1501,A802,$D$2:$D$1501,D802)</f>
        <v/>
      </c>
    </row>
    <row r="803">
      <c r="A803" s="35" t="n">
        <v>161</v>
      </c>
      <c r="B803" s="41" t="n">
        <v>46460</v>
      </c>
      <c r="C803" s="35" t="n">
        <v>2</v>
      </c>
      <c r="D803" s="33" t="inlineStr">
        <is>
          <t>Food and Everyday Life</t>
        </is>
      </c>
      <c r="E803" s="36" t="inlineStr">
        <is>
          <t>How heavy is a traditional French baguette?</t>
        </is>
      </c>
      <c r="F803" s="42" t="n">
        <v>250</v>
      </c>
      <c r="G803" s="33" t="inlineStr">
        <is>
          <t>grams</t>
        </is>
      </c>
      <c r="H803" s="35" t="inlineStr">
        <is>
          <t>Medium</t>
        </is>
      </c>
      <c r="I803" s="33" t="inlineStr">
        <is>
          <t>French bakery standard</t>
        </is>
      </c>
      <c r="J803" s="35" t="n"/>
      <c r="K803" s="33" t="inlineStr">
        <is>
          <t>Added Oct 2026. Spot check before this day goes live.</t>
        </is>
      </c>
      <c r="L803" s="35">
        <f>COUNTIFS($A$2:$A$1501,A803,$D$2:$D$1501,D803)</f>
        <v/>
      </c>
    </row>
    <row r="804">
      <c r="A804" s="35" t="n">
        <v>161</v>
      </c>
      <c r="B804" s="41" t="n">
        <v>46460</v>
      </c>
      <c r="C804" s="35" t="n">
        <v>3</v>
      </c>
      <c r="D804" s="33" t="inlineStr">
        <is>
          <t>Animals and Nature</t>
        </is>
      </c>
      <c r="E804" s="36" t="inlineStr">
        <is>
          <t>How far can a red kangaroo jump in a single leap?</t>
        </is>
      </c>
      <c r="F804" s="42" t="n">
        <v>8</v>
      </c>
      <c r="G804" s="33" t="inlineStr">
        <is>
          <t>metres</t>
        </is>
      </c>
      <c r="H804" s="35" t="inlineStr">
        <is>
          <t>Medium</t>
        </is>
      </c>
      <c r="I804" s="33" t="inlineStr">
        <is>
          <t>Australian Museum</t>
        </is>
      </c>
      <c r="J804" s="35" t="n"/>
      <c r="K804" s="33" t="inlineStr">
        <is>
          <t>Added Oct 2026. Spot check before this day goes live.</t>
        </is>
      </c>
      <c r="L804" s="35">
        <f>COUNTIFS($A$2:$A$1501,A804,$D$2:$D$1501,D804)</f>
        <v/>
      </c>
    </row>
    <row r="805">
      <c r="A805" s="35" t="n">
        <v>161</v>
      </c>
      <c r="B805" s="41" t="n">
        <v>46460</v>
      </c>
      <c r="C805" s="35" t="n">
        <v>4</v>
      </c>
      <c r="D805" s="33" t="inlineStr">
        <is>
          <t>Canada</t>
        </is>
      </c>
      <c r="E805" s="36" t="inlineStr">
        <is>
          <t>How long is the Dempster Highway to Inuvik?</t>
        </is>
      </c>
      <c r="F805" s="42" t="n">
        <v>740</v>
      </c>
      <c r="G805" s="33" t="inlineStr">
        <is>
          <t>km</t>
        </is>
      </c>
      <c r="H805" s="35" t="inlineStr">
        <is>
          <t>Hard</t>
        </is>
      </c>
      <c r="I805" s="33" t="inlineStr">
        <is>
          <t>Government of Yukon</t>
        </is>
      </c>
      <c r="J805" s="35" t="n"/>
      <c r="K805" s="33" t="inlineStr">
        <is>
          <t>Added Oct 2026. Spot check before this day goes live.</t>
        </is>
      </c>
      <c r="L805" s="35">
        <f>COUNTIFS($A$2:$A$1501,A805,$D$2:$D$1501,D805)</f>
        <v/>
      </c>
    </row>
    <row r="806">
      <c r="A806" s="35" t="n">
        <v>161</v>
      </c>
      <c r="B806" s="41" t="n">
        <v>46460</v>
      </c>
      <c r="C806" s="35" t="n">
        <v>5</v>
      </c>
      <c r="D806" s="33" t="inlineStr">
        <is>
          <t>Distance of the Day</t>
        </is>
      </c>
      <c r="E806" s="36" t="inlineStr">
        <is>
          <t>How far is it in a straight line from Edmonton to Kelowna?</t>
        </is>
      </c>
      <c r="F806" s="42" t="n">
        <v>580</v>
      </c>
      <c r="G806" s="33" t="inlineStr">
        <is>
          <t>km</t>
        </is>
      </c>
      <c r="H806" s="35" t="inlineStr">
        <is>
          <t>Easy</t>
        </is>
      </c>
      <c r="I806" s="33" t="inlineStr">
        <is>
          <t>Computed great-circle distance (city centre to city centre)</t>
        </is>
      </c>
      <c r="J806" s="35" t="n"/>
      <c r="K806" s="33" t="n"/>
      <c r="L806" s="35">
        <f>COUNTIFS($A$2:$A$1501,A806,$D$2:$D$1501,D806)</f>
        <v/>
      </c>
    </row>
    <row r="807">
      <c r="A807" s="35" t="n">
        <v>162</v>
      </c>
      <c r="B807" s="41" t="n">
        <v>46461</v>
      </c>
      <c r="C807" s="35" t="n">
        <v>1</v>
      </c>
      <c r="D807" s="33" t="inlineStr">
        <is>
          <t>Sports</t>
        </is>
      </c>
      <c r="E807" s="36" t="inlineStr">
        <is>
          <t>How tall was Yao Ming?</t>
        </is>
      </c>
      <c r="F807" s="42" t="n">
        <v>229</v>
      </c>
      <c r="G807" s="33" t="inlineStr">
        <is>
          <t>cm</t>
        </is>
      </c>
      <c r="H807" s="35" t="inlineStr">
        <is>
          <t>Medium</t>
        </is>
      </c>
      <c r="I807" s="33" t="inlineStr">
        <is>
          <t>NBA.com</t>
        </is>
      </c>
      <c r="J807" s="35" t="n"/>
      <c r="K807" s="33" t="inlineStr">
        <is>
          <t>Added Oct 2026. Spot check before this day goes live.</t>
        </is>
      </c>
      <c r="L807" s="35">
        <f>COUNTIFS($A$2:$A$1501,A807,$D$2:$D$1501,D807)</f>
        <v/>
      </c>
    </row>
    <row r="808">
      <c r="A808" s="35" t="n">
        <v>162</v>
      </c>
      <c r="B808" s="41" t="n">
        <v>46461</v>
      </c>
      <c r="C808" s="35" t="n">
        <v>2</v>
      </c>
      <c r="D808" s="33" t="inlineStr">
        <is>
          <t>Space and Science</t>
        </is>
      </c>
      <c r="E808" s="36" t="inlineStr">
        <is>
          <t>How many minutes did Neil Armstrong and Buzz Aldrin spend walking on the Moon?</t>
        </is>
      </c>
      <c r="F808" s="42" t="n">
        <v>151</v>
      </c>
      <c r="G808" s="33" t="inlineStr">
        <is>
          <t>minutes</t>
        </is>
      </c>
      <c r="H808" s="35" t="inlineStr">
        <is>
          <t>Medium</t>
        </is>
      </c>
      <c r="I808" s="33" t="inlineStr">
        <is>
          <t>NASA</t>
        </is>
      </c>
      <c r="J808" s="35" t="n"/>
      <c r="K808" s="33" t="inlineStr">
        <is>
          <t>Added Oct 2026. Spot check before this day goes live.</t>
        </is>
      </c>
      <c r="L808" s="35">
        <f>COUNTIFS($A$2:$A$1501,A808,$D$2:$D$1501,D808)</f>
        <v/>
      </c>
    </row>
    <row r="809">
      <c r="A809" s="35" t="n">
        <v>162</v>
      </c>
      <c r="B809" s="41" t="n">
        <v>46461</v>
      </c>
      <c r="C809" s="35" t="n">
        <v>3</v>
      </c>
      <c r="D809" s="33" t="inlineStr">
        <is>
          <t>Movies, Music and Games</t>
        </is>
      </c>
      <c r="E809" s="36" t="inlineStr">
        <is>
          <t>How many tiles come in a game of Bananagrams?</t>
        </is>
      </c>
      <c r="F809" s="42" t="n">
        <v>144</v>
      </c>
      <c r="G809" s="33" t="inlineStr">
        <is>
          <t>tiles</t>
        </is>
      </c>
      <c r="H809" s="35" t="inlineStr">
        <is>
          <t>Hard</t>
        </is>
      </c>
      <c r="I809" s="33" t="inlineStr">
        <is>
          <t>Bananagrams</t>
        </is>
      </c>
      <c r="J809" s="35" t="n"/>
      <c r="K809" s="33" t="inlineStr">
        <is>
          <t>Added Oct 2026. Spot check before this day goes live.</t>
        </is>
      </c>
      <c r="L809" s="35">
        <f>COUNTIFS($A$2:$A$1501,A809,$D$2:$D$1501,D809)</f>
        <v/>
      </c>
    </row>
    <row r="810">
      <c r="A810" s="35" t="n">
        <v>162</v>
      </c>
      <c r="B810" s="41" t="n">
        <v>46461</v>
      </c>
      <c r="C810" s="35" t="n">
        <v>4</v>
      </c>
      <c r="D810" s="33" t="inlineStr">
        <is>
          <t>Buildings and Engineering</t>
        </is>
      </c>
      <c r="E810" s="36" t="inlineStr">
        <is>
          <t>How tall is Nelson's Column in London?</t>
        </is>
      </c>
      <c r="F810" s="42" t="n">
        <v>52</v>
      </c>
      <c r="G810" s="33" t="inlineStr">
        <is>
          <t>metres</t>
        </is>
      </c>
      <c r="H810" s="35" t="inlineStr">
        <is>
          <t>Hard</t>
        </is>
      </c>
      <c r="I810" s="33" t="inlineStr">
        <is>
          <t>Historic England</t>
        </is>
      </c>
      <c r="J810" s="35" t="n"/>
      <c r="K810" s="33" t="inlineStr">
        <is>
          <t>Added Oct 2026. Spot check before this day goes live.</t>
        </is>
      </c>
      <c r="L810" s="35">
        <f>COUNTIFS($A$2:$A$1501,A810,$D$2:$D$1501,D810)</f>
        <v/>
      </c>
    </row>
    <row r="811">
      <c r="A811" s="35" t="n">
        <v>162</v>
      </c>
      <c r="B811" s="41" t="n">
        <v>46461</v>
      </c>
      <c r="C811" s="35" t="n">
        <v>5</v>
      </c>
      <c r="D811" s="33" t="inlineStr">
        <is>
          <t>Distance of the Day</t>
        </is>
      </c>
      <c r="E811" s="36" t="inlineStr">
        <is>
          <t>How far is it in a straight line from Windsor to Casablanca?</t>
        </is>
      </c>
      <c r="F811" s="42" t="n">
        <v>6470</v>
      </c>
      <c r="G811" s="33" t="inlineStr">
        <is>
          <t>km</t>
        </is>
      </c>
      <c r="H811" s="35" t="inlineStr">
        <is>
          <t>Medium</t>
        </is>
      </c>
      <c r="I811" s="33" t="inlineStr">
        <is>
          <t>Computed great-circle distance (city centre to city centre)</t>
        </is>
      </c>
      <c r="J811" s="35" t="n"/>
      <c r="K811" s="33" t="n"/>
      <c r="L811" s="35">
        <f>COUNTIFS($A$2:$A$1501,A811,$D$2:$D$1501,D811)</f>
        <v/>
      </c>
    </row>
    <row r="812">
      <c r="A812" s="35" t="n">
        <v>163</v>
      </c>
      <c r="B812" s="41" t="n">
        <v>46462</v>
      </c>
      <c r="C812" s="35" t="n">
        <v>1</v>
      </c>
      <c r="D812" s="33" t="inlineStr">
        <is>
          <t>Human Body</t>
        </is>
      </c>
      <c r="E812" s="36" t="inlineStr">
        <is>
          <t>How heavy is an average newborn baby?</t>
        </is>
      </c>
      <c r="F812" s="42" t="n">
        <v>3.4</v>
      </c>
      <c r="G812" s="33" t="inlineStr">
        <is>
          <t>kg</t>
        </is>
      </c>
      <c r="H812" s="35" t="inlineStr">
        <is>
          <t>Easy</t>
        </is>
      </c>
      <c r="I812" s="33" t="inlineStr">
        <is>
          <t>WHO growth standards</t>
        </is>
      </c>
      <c r="J812" s="35" t="n"/>
      <c r="K812" s="33" t="inlineStr">
        <is>
          <t>Added Oct 2026. Spot check before this day goes live.</t>
        </is>
      </c>
      <c r="L812" s="35">
        <f>COUNTIFS($A$2:$A$1501,A812,$D$2:$D$1501,D812)</f>
        <v/>
      </c>
    </row>
    <row r="813">
      <c r="A813" s="35" t="n">
        <v>163</v>
      </c>
      <c r="B813" s="41" t="n">
        <v>46462</v>
      </c>
      <c r="C813" s="35" t="n">
        <v>2</v>
      </c>
      <c r="D813" s="33" t="inlineStr">
        <is>
          <t>History</t>
        </is>
      </c>
      <c r="E813" s="36" t="inlineStr">
        <is>
          <t>How many republics made up the Soviet Union?</t>
        </is>
      </c>
      <c r="F813" s="42" t="n">
        <v>15</v>
      </c>
      <c r="G813" s="33" t="inlineStr">
        <is>
          <t>republics</t>
        </is>
      </c>
      <c r="H813" s="35" t="inlineStr">
        <is>
          <t>Medium</t>
        </is>
      </c>
      <c r="I813" s="33" t="inlineStr">
        <is>
          <t>Britannica</t>
        </is>
      </c>
      <c r="J813" s="35" t="n"/>
      <c r="K813" s="33" t="inlineStr">
        <is>
          <t>Added Oct 2026. Spot check before this day goes live.</t>
        </is>
      </c>
      <c r="L813" s="35">
        <f>COUNTIFS($A$2:$A$1501,A813,$D$2:$D$1501,D813)</f>
        <v/>
      </c>
    </row>
    <row r="814">
      <c r="A814" s="35" t="n">
        <v>163</v>
      </c>
      <c r="B814" s="41" t="n">
        <v>46462</v>
      </c>
      <c r="C814" s="35" t="n">
        <v>3</v>
      </c>
      <c r="D814" s="33" t="inlineStr">
        <is>
          <t>Geography</t>
        </is>
      </c>
      <c r="E814" s="36" t="inlineStr">
        <is>
          <t>How long is the Volga River, Europe's longest?</t>
        </is>
      </c>
      <c r="F814" s="42" t="n">
        <v>3530</v>
      </c>
      <c r="G814" s="33" t="inlineStr">
        <is>
          <t>km</t>
        </is>
      </c>
      <c r="H814" s="35" t="inlineStr">
        <is>
          <t>Hard</t>
        </is>
      </c>
      <c r="I814" s="33" t="inlineStr">
        <is>
          <t>Britannica</t>
        </is>
      </c>
      <c r="J814" s="35" t="n"/>
      <c r="K814" s="33" t="inlineStr">
        <is>
          <t>Added Oct 2026. Spot check before this day goes live.</t>
        </is>
      </c>
      <c r="L814" s="35">
        <f>COUNTIFS($A$2:$A$1501,A814,$D$2:$D$1501,D814)</f>
        <v/>
      </c>
    </row>
    <row r="815">
      <c r="A815" s="35" t="n">
        <v>163</v>
      </c>
      <c r="B815" s="41" t="n">
        <v>46462</v>
      </c>
      <c r="C815" s="35" t="n">
        <v>4</v>
      </c>
      <c r="D815" s="33" t="inlineStr">
        <is>
          <t>Food and Everyday Life</t>
        </is>
      </c>
      <c r="E815" s="36" t="inlineStr">
        <is>
          <t>How many litres are in a US half-barrel keg of beer?</t>
        </is>
      </c>
      <c r="F815" s="42" t="n">
        <v>58.7</v>
      </c>
      <c r="G815" s="33" t="inlineStr">
        <is>
          <t>litres</t>
        </is>
      </c>
      <c r="H815" s="35" t="inlineStr">
        <is>
          <t>Hard</t>
        </is>
      </c>
      <c r="I815" s="33" t="inlineStr">
        <is>
          <t>Brewers Association</t>
        </is>
      </c>
      <c r="J815" s="35" t="n"/>
      <c r="K815" s="33" t="inlineStr">
        <is>
          <t>Added Oct 2026. Spot check before this day goes live.</t>
        </is>
      </c>
      <c r="L815" s="35">
        <f>COUNTIFS($A$2:$A$1501,A815,$D$2:$D$1501,D815)</f>
        <v/>
      </c>
    </row>
    <row r="816">
      <c r="A816" s="35" t="n">
        <v>163</v>
      </c>
      <c r="B816" s="41" t="n">
        <v>46462</v>
      </c>
      <c r="C816" s="35" t="n">
        <v>5</v>
      </c>
      <c r="D816" s="33" t="inlineStr">
        <is>
          <t>Distance of the Day</t>
        </is>
      </c>
      <c r="E816" s="36" t="inlineStr">
        <is>
          <t>How far is it in a straight line from Windsor to Moscow?</t>
        </is>
      </c>
      <c r="F816" s="42" t="n">
        <v>7770</v>
      </c>
      <c r="G816" s="33" t="inlineStr">
        <is>
          <t>km</t>
        </is>
      </c>
      <c r="H816" s="35" t="inlineStr">
        <is>
          <t>Medium</t>
        </is>
      </c>
      <c r="I816" s="33" t="inlineStr">
        <is>
          <t>Computed great-circle distance (city centre to city centre)</t>
        </is>
      </c>
      <c r="J816" s="35" t="n"/>
      <c r="K816" s="33" t="n"/>
      <c r="L816" s="35">
        <f>COUNTIFS($A$2:$A$1501,A816,$D$2:$D$1501,D816)</f>
        <v/>
      </c>
    </row>
    <row r="817">
      <c r="A817" s="35" t="n">
        <v>164</v>
      </c>
      <c r="B817" s="41" t="n">
        <v>46463</v>
      </c>
      <c r="C817" s="35" t="n">
        <v>1</v>
      </c>
      <c r="D817" s="33" t="inlineStr">
        <is>
          <t>Animals and Nature</t>
        </is>
      </c>
      <c r="E817" s="36" t="inlineStr">
        <is>
          <t>How many legs does an insect have?</t>
        </is>
      </c>
      <c r="F817" s="42" t="n">
        <v>6</v>
      </c>
      <c r="G817" s="33" t="inlineStr">
        <is>
          <t>legs</t>
        </is>
      </c>
      <c r="H817" s="35" t="inlineStr">
        <is>
          <t>Easy</t>
        </is>
      </c>
      <c r="I817" s="33" t="inlineStr">
        <is>
          <t>Britannica</t>
        </is>
      </c>
      <c r="J817" s="35" t="n"/>
      <c r="K817" s="33" t="inlineStr">
        <is>
          <t>Added Oct 2026. Spot check before this day goes live.</t>
        </is>
      </c>
      <c r="L817" s="35">
        <f>COUNTIFS($A$2:$A$1501,A817,$D$2:$D$1501,D817)</f>
        <v/>
      </c>
    </row>
    <row r="818">
      <c r="A818" s="35" t="n">
        <v>164</v>
      </c>
      <c r="B818" s="41" t="n">
        <v>46463</v>
      </c>
      <c r="C818" s="35" t="n">
        <v>2</v>
      </c>
      <c r="D818" s="33" t="inlineStr">
        <is>
          <t>Sports</t>
        </is>
      </c>
      <c r="E818" s="36" t="inlineStr">
        <is>
          <t>How wide is a regulation soccer goal?</t>
        </is>
      </c>
      <c r="F818" s="42" t="n">
        <v>7.32</v>
      </c>
      <c r="G818" s="33" t="inlineStr">
        <is>
          <t>metres</t>
        </is>
      </c>
      <c r="H818" s="35" t="inlineStr">
        <is>
          <t>Medium</t>
        </is>
      </c>
      <c r="I818" s="33" t="inlineStr">
        <is>
          <t>IFAB Laws of the Game</t>
        </is>
      </c>
      <c r="J818" s="35" t="n"/>
      <c r="K818" s="33" t="inlineStr">
        <is>
          <t>Added Oct 2026. Spot check before this day goes live.</t>
        </is>
      </c>
      <c r="L818" s="35">
        <f>COUNTIFS($A$2:$A$1501,A818,$D$2:$D$1501,D818)</f>
        <v/>
      </c>
    </row>
    <row r="819">
      <c r="A819" s="35" t="n">
        <v>164</v>
      </c>
      <c r="B819" s="41" t="n">
        <v>46463</v>
      </c>
      <c r="C819" s="35" t="n">
        <v>3</v>
      </c>
      <c r="D819" s="33" t="inlineStr">
        <is>
          <t>Canada</t>
        </is>
      </c>
      <c r="E819" s="36" t="inlineStr">
        <is>
          <t>How many provinces joined together at Confederation in 1867?</t>
        </is>
      </c>
      <c r="F819" s="42" t="n">
        <v>4</v>
      </c>
      <c r="G819" s="33" t="inlineStr">
        <is>
          <t>provinces</t>
        </is>
      </c>
      <c r="H819" s="35" t="inlineStr">
        <is>
          <t>Medium</t>
        </is>
      </c>
      <c r="I819" s="33" t="inlineStr">
        <is>
          <t>Library and Archives Canada</t>
        </is>
      </c>
      <c r="J819" s="35" t="n"/>
      <c r="K819" s="33" t="inlineStr">
        <is>
          <t>Added Oct 2026. Spot check before this day goes live.</t>
        </is>
      </c>
      <c r="L819" s="35">
        <f>COUNTIFS($A$2:$A$1501,A819,$D$2:$D$1501,D819)</f>
        <v/>
      </c>
    </row>
    <row r="820">
      <c r="A820" s="35" t="n">
        <v>164</v>
      </c>
      <c r="B820" s="41" t="n">
        <v>46463</v>
      </c>
      <c r="C820" s="35" t="n">
        <v>4</v>
      </c>
      <c r="D820" s="33" t="inlineStr">
        <is>
          <t>Movies, Music and Games</t>
        </is>
      </c>
      <c r="E820" s="36" t="inlineStr">
        <is>
          <t>How heavy is an Oscar statuette?</t>
        </is>
      </c>
      <c r="F820" s="42" t="n">
        <v>3.85</v>
      </c>
      <c r="G820" s="33" t="inlineStr">
        <is>
          <t>kg</t>
        </is>
      </c>
      <c r="H820" s="35" t="inlineStr">
        <is>
          <t>Hard</t>
        </is>
      </c>
      <c r="I820" s="33" t="inlineStr">
        <is>
          <t>Academy of Motion Picture Arts and Sciences</t>
        </is>
      </c>
      <c r="J820" s="35" t="n"/>
      <c r="K820" s="33" t="inlineStr">
        <is>
          <t>Added Oct 2026. Spot check before this day goes live.</t>
        </is>
      </c>
      <c r="L820" s="35">
        <f>COUNTIFS($A$2:$A$1501,A820,$D$2:$D$1501,D820)</f>
        <v/>
      </c>
    </row>
    <row r="821">
      <c r="A821" s="35" t="n">
        <v>164</v>
      </c>
      <c r="B821" s="41" t="n">
        <v>46463</v>
      </c>
      <c r="C821" s="35" t="n">
        <v>5</v>
      </c>
      <c r="D821" s="33" t="inlineStr">
        <is>
          <t>Distance of the Day</t>
        </is>
      </c>
      <c r="E821" s="36" t="inlineStr">
        <is>
          <t>How far is it in a straight line from Regina to Cairo?</t>
        </is>
      </c>
      <c r="F821" s="42" t="n">
        <v>10070</v>
      </c>
      <c r="G821" s="33" t="inlineStr">
        <is>
          <t>km</t>
        </is>
      </c>
      <c r="H821" s="35" t="inlineStr">
        <is>
          <t>Hard</t>
        </is>
      </c>
      <c r="I821" s="33" t="inlineStr">
        <is>
          <t>Computed great-circle distance (city centre to city centre)</t>
        </is>
      </c>
      <c r="J821" s="35" t="n"/>
      <c r="K821" s="33" t="n"/>
      <c r="L821" s="35">
        <f>COUNTIFS($A$2:$A$1501,A821,$D$2:$D$1501,D821)</f>
        <v/>
      </c>
    </row>
    <row r="822">
      <c r="A822" s="35" t="n">
        <v>165</v>
      </c>
      <c r="B822" s="41" t="n">
        <v>46464</v>
      </c>
      <c r="C822" s="35" t="n">
        <v>1</v>
      </c>
      <c r="D822" s="33" t="inlineStr">
        <is>
          <t>Buildings and Engineering</t>
        </is>
      </c>
      <c r="E822" s="36" t="inlineStr">
        <is>
          <t>How many steps does it take to climb to the crown of the Statue of Liberty?</t>
        </is>
      </c>
      <c r="F822" s="42" t="n">
        <v>354</v>
      </c>
      <c r="G822" s="33" t="inlineStr">
        <is>
          <t>steps</t>
        </is>
      </c>
      <c r="H822" s="35" t="inlineStr">
        <is>
          <t>Medium</t>
        </is>
      </c>
      <c r="I822" s="33" t="inlineStr">
        <is>
          <t>US National Park Service</t>
        </is>
      </c>
      <c r="J822" s="35" t="n"/>
      <c r="K822" s="33" t="inlineStr">
        <is>
          <t>Added Oct 2026. Spot check before this day goes live.</t>
        </is>
      </c>
      <c r="L822" s="35">
        <f>COUNTIFS($A$2:$A$1501,A822,$D$2:$D$1501,D822)</f>
        <v/>
      </c>
    </row>
    <row r="823">
      <c r="A823" s="35" t="n">
        <v>165</v>
      </c>
      <c r="B823" s="41" t="n">
        <v>46464</v>
      </c>
      <c r="C823" s="35" t="n">
        <v>2</v>
      </c>
      <c r="D823" s="33" t="inlineStr">
        <is>
          <t>Space and Science</t>
        </is>
      </c>
      <c r="E823" s="36" t="inlineStr">
        <is>
          <t>How many degrees below zero Celsius is absolute zero?</t>
        </is>
      </c>
      <c r="F823" s="42" t="n">
        <v>273.15</v>
      </c>
      <c r="G823" s="33" t="inlineStr">
        <is>
          <t>°C</t>
        </is>
      </c>
      <c r="H823" s="35" t="inlineStr">
        <is>
          <t>Medium</t>
        </is>
      </c>
      <c r="I823" s="33" t="inlineStr">
        <is>
          <t>NIST</t>
        </is>
      </c>
      <c r="J823" s="35" t="n"/>
      <c r="K823" s="33" t="inlineStr">
        <is>
          <t>Added Oct 2026. Spot check before this day goes live.</t>
        </is>
      </c>
      <c r="L823" s="35">
        <f>COUNTIFS($A$2:$A$1501,A823,$D$2:$D$1501,D823)</f>
        <v/>
      </c>
    </row>
    <row r="824">
      <c r="A824" s="35" t="n">
        <v>165</v>
      </c>
      <c r="B824" s="41" t="n">
        <v>46464</v>
      </c>
      <c r="C824" s="35" t="n">
        <v>3</v>
      </c>
      <c r="D824" s="33" t="inlineStr">
        <is>
          <t>Human Body</t>
        </is>
      </c>
      <c r="E824" s="36" t="inlineStr">
        <is>
          <t>How heavy is the human eyeball?</t>
        </is>
      </c>
      <c r="F824" s="42" t="n">
        <v>7.5</v>
      </c>
      <c r="G824" s="33" t="inlineStr">
        <is>
          <t>grams</t>
        </is>
      </c>
      <c r="H824" s="35" t="inlineStr">
        <is>
          <t>Hard</t>
        </is>
      </c>
      <c r="I824" s="33" t="inlineStr">
        <is>
          <t>Britannica</t>
        </is>
      </c>
      <c r="J824" s="35" t="n"/>
      <c r="K824" s="33" t="inlineStr">
        <is>
          <t>Added Oct 2026. Spot check before this day goes live.</t>
        </is>
      </c>
      <c r="L824" s="35">
        <f>COUNTIFS($A$2:$A$1501,A824,$D$2:$D$1501,D824)</f>
        <v/>
      </c>
    </row>
    <row r="825">
      <c r="A825" s="35" t="n">
        <v>165</v>
      </c>
      <c r="B825" s="41" t="n">
        <v>46464</v>
      </c>
      <c r="C825" s="35" t="n">
        <v>4</v>
      </c>
      <c r="D825" s="33" t="inlineStr">
        <is>
          <t>History</t>
        </is>
      </c>
      <c r="E825" s="36" t="inlineStr">
        <is>
          <t>How many hours did the Apollo 13 mission last?</t>
        </is>
      </c>
      <c r="F825" s="42" t="n">
        <v>142</v>
      </c>
      <c r="G825" s="33" t="inlineStr">
        <is>
          <t>hours</t>
        </is>
      </c>
      <c r="H825" s="35" t="inlineStr">
        <is>
          <t>Hard</t>
        </is>
      </c>
      <c r="I825" s="33" t="inlineStr">
        <is>
          <t>NASA</t>
        </is>
      </c>
      <c r="J825" s="35" t="n"/>
      <c r="K825" s="33" t="inlineStr">
        <is>
          <t>Added Oct 2026. Spot check before this day goes live.</t>
        </is>
      </c>
      <c r="L825" s="35">
        <f>COUNTIFS($A$2:$A$1501,A825,$D$2:$D$1501,D825)</f>
        <v/>
      </c>
    </row>
    <row r="826">
      <c r="A826" s="35" t="n">
        <v>165</v>
      </c>
      <c r="B826" s="41" t="n">
        <v>46464</v>
      </c>
      <c r="C826" s="35" t="n">
        <v>5</v>
      </c>
      <c r="D826" s="33" t="inlineStr">
        <is>
          <t>Distance of the Day</t>
        </is>
      </c>
      <c r="E826" s="36" t="inlineStr">
        <is>
          <t>How far is it in a straight line from Paris to Zurich?</t>
        </is>
      </c>
      <c r="F826" s="42" t="n">
        <v>490</v>
      </c>
      <c r="G826" s="33" t="inlineStr">
        <is>
          <t>km</t>
        </is>
      </c>
      <c r="H826" s="35" t="inlineStr">
        <is>
          <t>Easy</t>
        </is>
      </c>
      <c r="I826" s="33" t="inlineStr">
        <is>
          <t>Computed great-circle distance (city centre to city centre)</t>
        </is>
      </c>
      <c r="J826" s="35" t="n"/>
      <c r="K826" s="33" t="n"/>
      <c r="L826" s="35">
        <f>COUNTIFS($A$2:$A$1501,A826,$D$2:$D$1501,D826)</f>
        <v/>
      </c>
    </row>
    <row r="827">
      <c r="A827" s="35" t="n">
        <v>166</v>
      </c>
      <c r="B827" s="41" t="n">
        <v>46465</v>
      </c>
      <c r="C827" s="35" t="n">
        <v>1</v>
      </c>
      <c r="D827" s="33" t="inlineStr">
        <is>
          <t>Geography</t>
        </is>
      </c>
      <c r="E827" s="36" t="inlineStr">
        <is>
          <t>How many US states are there?</t>
        </is>
      </c>
      <c r="F827" s="42" t="n">
        <v>50</v>
      </c>
      <c r="G827" s="33" t="inlineStr">
        <is>
          <t>states</t>
        </is>
      </c>
      <c r="H827" s="35" t="inlineStr">
        <is>
          <t>Easy</t>
        </is>
      </c>
      <c r="I827" s="33" t="inlineStr">
        <is>
          <t>US government</t>
        </is>
      </c>
      <c r="J827" s="35" t="n"/>
      <c r="K827" s="33" t="inlineStr">
        <is>
          <t>Added Oct 2026. Spot check before this day goes live.</t>
        </is>
      </c>
      <c r="L827" s="35">
        <f>COUNTIFS($A$2:$A$1501,A827,$D$2:$D$1501,D827)</f>
        <v/>
      </c>
    </row>
    <row r="828">
      <c r="A828" s="35" t="n">
        <v>166</v>
      </c>
      <c r="B828" s="41" t="n">
        <v>46465</v>
      </c>
      <c r="C828" s="35" t="n">
        <v>2</v>
      </c>
      <c r="D828" s="33" t="inlineStr">
        <is>
          <t>Sports</t>
        </is>
      </c>
      <c r="E828" s="36" t="inlineStr">
        <is>
          <t>How heavy is a hockey puck?</t>
        </is>
      </c>
      <c r="F828" s="42" t="n">
        <v>170</v>
      </c>
      <c r="G828" s="33" t="inlineStr">
        <is>
          <t>grams</t>
        </is>
      </c>
      <c r="H828" s="35" t="inlineStr">
        <is>
          <t>Medium</t>
        </is>
      </c>
      <c r="I828" s="33" t="inlineStr">
        <is>
          <t>NHL rulebook</t>
        </is>
      </c>
      <c r="J828" s="35" t="n"/>
      <c r="K828" s="33" t="inlineStr">
        <is>
          <t>Added Oct 2026. Spot check before this day goes live.</t>
        </is>
      </c>
      <c r="L828" s="35">
        <f>COUNTIFS($A$2:$A$1501,A828,$D$2:$D$1501,D828)</f>
        <v/>
      </c>
    </row>
    <row r="829">
      <c r="A829" s="35" t="n">
        <v>166</v>
      </c>
      <c r="B829" s="41" t="n">
        <v>46465</v>
      </c>
      <c r="C829" s="35" t="n">
        <v>3</v>
      </c>
      <c r="D829" s="33" t="inlineStr">
        <is>
          <t>Food and Everyday Life</t>
        </is>
      </c>
      <c r="E829" s="36" t="inlineStr">
        <is>
          <t>How tall is a standard kitchen counter?</t>
        </is>
      </c>
      <c r="F829" s="42" t="n">
        <v>91</v>
      </c>
      <c r="G829" s="33" t="inlineStr">
        <is>
          <t>cm</t>
        </is>
      </c>
      <c r="H829" s="35" t="inlineStr">
        <is>
          <t>Medium</t>
        </is>
      </c>
      <c r="I829" s="33" t="inlineStr">
        <is>
          <t>National Kitchen and Bath Association</t>
        </is>
      </c>
      <c r="J829" s="35" t="n"/>
      <c r="K829" s="33" t="inlineStr">
        <is>
          <t>Added Oct 2026. Spot check before this day goes live.</t>
        </is>
      </c>
      <c r="L829" s="35">
        <f>COUNTIFS($A$2:$A$1501,A829,$D$2:$D$1501,D829)</f>
        <v/>
      </c>
    </row>
    <row r="830">
      <c r="A830" s="35" t="n">
        <v>166</v>
      </c>
      <c r="B830" s="41" t="n">
        <v>46465</v>
      </c>
      <c r="C830" s="35" t="n">
        <v>4</v>
      </c>
      <c r="D830" s="33" t="inlineStr">
        <is>
          <t>Animals and Nature</t>
        </is>
      </c>
      <c r="E830" s="36" t="inlineStr">
        <is>
          <t>How many litres of water can a thirsty camel drink in one go?</t>
        </is>
      </c>
      <c r="F830" s="42" t="n">
        <v>135</v>
      </c>
      <c r="G830" s="33" t="inlineStr">
        <is>
          <t>litres</t>
        </is>
      </c>
      <c r="H830" s="35" t="inlineStr">
        <is>
          <t>Hard</t>
        </is>
      </c>
      <c r="I830" s="33" t="inlineStr">
        <is>
          <t>San Diego Zoo</t>
        </is>
      </c>
      <c r="J830" s="35" t="n"/>
      <c r="K830" s="33" t="inlineStr">
        <is>
          <t>Added Oct 2026. Spot check before this day goes live.</t>
        </is>
      </c>
      <c r="L830" s="35">
        <f>COUNTIFS($A$2:$A$1501,A830,$D$2:$D$1501,D830)</f>
        <v/>
      </c>
    </row>
    <row r="831">
      <c r="A831" s="35" t="n">
        <v>166</v>
      </c>
      <c r="B831" s="41" t="n">
        <v>46465</v>
      </c>
      <c r="C831" s="35" t="n">
        <v>5</v>
      </c>
      <c r="D831" s="33" t="inlineStr">
        <is>
          <t>Distance of the Day</t>
        </is>
      </c>
      <c r="E831" s="36" t="inlineStr">
        <is>
          <t>How far is it in a straight line from Montreal to Vancouver?</t>
        </is>
      </c>
      <c r="F831" s="42" t="n">
        <v>3690</v>
      </c>
      <c r="G831" s="33" t="inlineStr">
        <is>
          <t>km</t>
        </is>
      </c>
      <c r="H831" s="35" t="inlineStr">
        <is>
          <t>Medium</t>
        </is>
      </c>
      <c r="I831" s="33" t="inlineStr">
        <is>
          <t>Computed great-circle distance (city centre to city centre)</t>
        </is>
      </c>
      <c r="J831" s="35" t="n"/>
      <c r="K831" s="33" t="n"/>
      <c r="L831" s="35">
        <f>COUNTIFS($A$2:$A$1501,A831,$D$2:$D$1501,D831)</f>
        <v/>
      </c>
    </row>
    <row r="832">
      <c r="A832" s="35" t="n">
        <v>167</v>
      </c>
      <c r="B832" s="41" t="n">
        <v>46466</v>
      </c>
      <c r="C832" s="35" t="n">
        <v>1</v>
      </c>
      <c r="D832" s="33" t="inlineStr">
        <is>
          <t>History</t>
        </is>
      </c>
      <c r="E832" s="36" t="inlineStr">
        <is>
          <t>How many days long was the Battle of Gettysburg?</t>
        </is>
      </c>
      <c r="F832" s="42" t="n">
        <v>3</v>
      </c>
      <c r="G832" s="33" t="inlineStr">
        <is>
          <t>days</t>
        </is>
      </c>
      <c r="H832" s="35" t="inlineStr">
        <is>
          <t>Easy</t>
        </is>
      </c>
      <c r="I832" s="33" t="inlineStr">
        <is>
          <t>US National Park Service</t>
        </is>
      </c>
      <c r="J832" s="35" t="n"/>
      <c r="K832" s="33" t="inlineStr">
        <is>
          <t>Added Oct 2026. Spot check before this day goes live.</t>
        </is>
      </c>
      <c r="L832" s="35">
        <f>COUNTIFS($A$2:$A$1501,A832,$D$2:$D$1501,D832)</f>
        <v/>
      </c>
    </row>
    <row r="833">
      <c r="A833" s="35" t="n">
        <v>167</v>
      </c>
      <c r="B833" s="41" t="n">
        <v>46466</v>
      </c>
      <c r="C833" s="35" t="n">
        <v>2</v>
      </c>
      <c r="D833" s="33" t="inlineStr">
        <is>
          <t>Buildings and Engineering</t>
        </is>
      </c>
      <c r="E833" s="36" t="inlineStr">
        <is>
          <t>How tall is the Gateway Arch in St. Louis?</t>
        </is>
      </c>
      <c r="F833" s="42" t="n">
        <v>192</v>
      </c>
      <c r="G833" s="33" t="inlineStr">
        <is>
          <t>metres</t>
        </is>
      </c>
      <c r="H833" s="35" t="inlineStr">
        <is>
          <t>Medium</t>
        </is>
      </c>
      <c r="I833" s="33" t="inlineStr">
        <is>
          <t>US National Park Service</t>
        </is>
      </c>
      <c r="J833" s="35" t="n"/>
      <c r="K833" s="33" t="inlineStr">
        <is>
          <t>Added Oct 2026. Spot check before this day goes live.</t>
        </is>
      </c>
      <c r="L833" s="35">
        <f>COUNTIFS($A$2:$A$1501,A833,$D$2:$D$1501,D833)</f>
        <v/>
      </c>
    </row>
    <row r="834">
      <c r="A834" s="35" t="n">
        <v>167</v>
      </c>
      <c r="B834" s="41" t="n">
        <v>46466</v>
      </c>
      <c r="C834" s="35" t="n">
        <v>3</v>
      </c>
      <c r="D834" s="33" t="inlineStr">
        <is>
          <t>Movies, Music and Games</t>
        </is>
      </c>
      <c r="E834" s="36" t="inlineStr">
        <is>
          <t>How long is Gone with the Wind?</t>
        </is>
      </c>
      <c r="F834" s="42" t="n">
        <v>238</v>
      </c>
      <c r="G834" s="33" t="inlineStr">
        <is>
          <t>minutes</t>
        </is>
      </c>
      <c r="H834" s="35" t="inlineStr">
        <is>
          <t>Hard</t>
        </is>
      </c>
      <c r="I834" s="33" t="inlineStr">
        <is>
          <t>IMDb</t>
        </is>
      </c>
      <c r="J834" s="35" t="n"/>
      <c r="K834" s="33" t="inlineStr">
        <is>
          <t>Added Oct 2026. Spot check before this day goes live.</t>
        </is>
      </c>
      <c r="L834" s="35">
        <f>COUNTIFS($A$2:$A$1501,A834,$D$2:$D$1501,D834)</f>
        <v/>
      </c>
    </row>
    <row r="835">
      <c r="A835" s="35" t="n">
        <v>167</v>
      </c>
      <c r="B835" s="41" t="n">
        <v>46466</v>
      </c>
      <c r="C835" s="35" t="n">
        <v>4</v>
      </c>
      <c r="D835" s="33" t="inlineStr">
        <is>
          <t>Space and Science</t>
        </is>
      </c>
      <c r="E835" s="36" t="inlineStr">
        <is>
          <t>How cold does the night side of Mercury get, in degrees below zero?</t>
        </is>
      </c>
      <c r="F835" s="42" t="n">
        <v>180</v>
      </c>
      <c r="G835" s="33" t="inlineStr">
        <is>
          <t>°C</t>
        </is>
      </c>
      <c r="H835" s="35" t="inlineStr">
        <is>
          <t>Hard</t>
        </is>
      </c>
      <c r="I835" s="33" t="inlineStr">
        <is>
          <t>NASA</t>
        </is>
      </c>
      <c r="J835" s="35" t="n"/>
      <c r="K835" s="33" t="inlineStr">
        <is>
          <t>Added Oct 2026. Spot check before this day goes live.</t>
        </is>
      </c>
      <c r="L835" s="35">
        <f>COUNTIFS($A$2:$A$1501,A835,$D$2:$D$1501,D835)</f>
        <v/>
      </c>
    </row>
    <row r="836">
      <c r="A836" s="35" t="n">
        <v>167</v>
      </c>
      <c r="B836" s="41" t="n">
        <v>46466</v>
      </c>
      <c r="C836" s="35" t="n">
        <v>5</v>
      </c>
      <c r="D836" s="33" t="inlineStr">
        <is>
          <t>Distance of the Day</t>
        </is>
      </c>
      <c r="E836" s="36" t="inlineStr">
        <is>
          <t>How far is it in a straight line from Saskatoon to Istanbul?</t>
        </is>
      </c>
      <c r="F836" s="42" t="n">
        <v>8810</v>
      </c>
      <c r="G836" s="33" t="inlineStr">
        <is>
          <t>km</t>
        </is>
      </c>
      <c r="H836" s="35" t="inlineStr">
        <is>
          <t>Hard</t>
        </is>
      </c>
      <c r="I836" s="33" t="inlineStr">
        <is>
          <t>Computed great-circle distance (city centre to city centre)</t>
        </is>
      </c>
      <c r="J836" s="35" t="n"/>
      <c r="K836" s="33" t="n"/>
      <c r="L836" s="35">
        <f>COUNTIFS($A$2:$A$1501,A836,$D$2:$D$1501,D836)</f>
        <v/>
      </c>
    </row>
    <row r="837">
      <c r="A837" s="35" t="n">
        <v>168</v>
      </c>
      <c r="B837" s="41" t="n">
        <v>46467</v>
      </c>
      <c r="C837" s="35" t="n">
        <v>1</v>
      </c>
      <c r="D837" s="33" t="inlineStr">
        <is>
          <t>Geography</t>
        </is>
      </c>
      <c r="E837" s="36" t="inlineStr">
        <is>
          <t>How many countries are in South America?</t>
        </is>
      </c>
      <c r="F837" s="42" t="n">
        <v>12</v>
      </c>
      <c r="G837" s="33" t="inlineStr">
        <is>
          <t>countries</t>
        </is>
      </c>
      <c r="H837" s="35" t="inlineStr">
        <is>
          <t>Easy</t>
        </is>
      </c>
      <c r="I837" s="33" t="inlineStr">
        <is>
          <t>Britannica</t>
        </is>
      </c>
      <c r="J837" s="35" t="n"/>
      <c r="K837" s="33" t="inlineStr">
        <is>
          <t>Added Oct 2026. Spot check before this day goes live.</t>
        </is>
      </c>
      <c r="L837" s="35">
        <f>COUNTIFS($A$2:$A$1501,A837,$D$2:$D$1501,D837)</f>
        <v/>
      </c>
    </row>
    <row r="838">
      <c r="A838" s="35" t="n">
        <v>168</v>
      </c>
      <c r="B838" s="41" t="n">
        <v>46467</v>
      </c>
      <c r="C838" s="35" t="n">
        <v>2</v>
      </c>
      <c r="D838" s="33" t="inlineStr">
        <is>
          <t>Sports</t>
        </is>
      </c>
      <c r="E838" s="36" t="inlineStr">
        <is>
          <t>How tall was Shaquille O'Neal?</t>
        </is>
      </c>
      <c r="F838" s="42" t="n">
        <v>216</v>
      </c>
      <c r="G838" s="33" t="inlineStr">
        <is>
          <t>cm</t>
        </is>
      </c>
      <c r="H838" s="35" t="inlineStr">
        <is>
          <t>Medium</t>
        </is>
      </c>
      <c r="I838" s="33" t="inlineStr">
        <is>
          <t>NBA.com</t>
        </is>
      </c>
      <c r="J838" s="35" t="n"/>
      <c r="K838" s="33" t="inlineStr">
        <is>
          <t>Added Oct 2026. Spot check before this day goes live.</t>
        </is>
      </c>
      <c r="L838" s="35">
        <f>COUNTIFS($A$2:$A$1501,A838,$D$2:$D$1501,D838)</f>
        <v/>
      </c>
    </row>
    <row r="839">
      <c r="A839" s="35" t="n">
        <v>168</v>
      </c>
      <c r="B839" s="41" t="n">
        <v>46467</v>
      </c>
      <c r="C839" s="35" t="n">
        <v>3</v>
      </c>
      <c r="D839" s="33" t="inlineStr">
        <is>
          <t>Canada</t>
        </is>
      </c>
      <c r="E839" s="36" t="inlineStr">
        <is>
          <t>How long is Highway 401 in Ontario?</t>
        </is>
      </c>
      <c r="F839" s="42" t="n">
        <v>828</v>
      </c>
      <c r="G839" s="33" t="inlineStr">
        <is>
          <t>km</t>
        </is>
      </c>
      <c r="H839" s="35" t="inlineStr">
        <is>
          <t>Medium</t>
        </is>
      </c>
      <c r="I839" s="33" t="inlineStr">
        <is>
          <t>Ontario Ministry of Transportation</t>
        </is>
      </c>
      <c r="J839" s="35" t="n"/>
      <c r="K839" s="33" t="inlineStr">
        <is>
          <t>Added Oct 2026. Spot check before this day goes live.</t>
        </is>
      </c>
      <c r="L839" s="35">
        <f>COUNTIFS($A$2:$A$1501,A839,$D$2:$D$1501,D839)</f>
        <v/>
      </c>
    </row>
    <row r="840">
      <c r="A840" s="35" t="n">
        <v>168</v>
      </c>
      <c r="B840" s="41" t="n">
        <v>46467</v>
      </c>
      <c r="C840" s="35" t="n">
        <v>4</v>
      </c>
      <c r="D840" s="33" t="inlineStr">
        <is>
          <t>Human Body</t>
        </is>
      </c>
      <c r="E840" s="36" t="inlineStr">
        <is>
          <t>How many red blood cells does your body make every second?</t>
        </is>
      </c>
      <c r="F840" s="42" t="n">
        <v>2</v>
      </c>
      <c r="G840" s="33" t="inlineStr">
        <is>
          <t>million</t>
        </is>
      </c>
      <c r="H840" s="35" t="inlineStr">
        <is>
          <t>Hard</t>
        </is>
      </c>
      <c r="I840" s="33" t="inlineStr">
        <is>
          <t>Canadian Blood Services</t>
        </is>
      </c>
      <c r="J840" s="35" t="n"/>
      <c r="K840" s="33" t="inlineStr">
        <is>
          <t>Added Oct 2026. Spot check before this day goes live.</t>
        </is>
      </c>
      <c r="L840" s="35">
        <f>COUNTIFS($A$2:$A$1501,A840,$D$2:$D$1501,D840)</f>
        <v/>
      </c>
    </row>
    <row r="841">
      <c r="A841" s="35" t="n">
        <v>168</v>
      </c>
      <c r="B841" s="41" t="n">
        <v>46467</v>
      </c>
      <c r="C841" s="35" t="n">
        <v>5</v>
      </c>
      <c r="D841" s="33" t="inlineStr">
        <is>
          <t>Distance of the Day</t>
        </is>
      </c>
      <c r="E841" s="36" t="inlineStr">
        <is>
          <t>How far is it in a straight line from Detroit to Barcelona?</t>
        </is>
      </c>
      <c r="F841" s="42" t="n">
        <v>6730</v>
      </c>
      <c r="G841" s="33" t="inlineStr">
        <is>
          <t>km</t>
        </is>
      </c>
      <c r="H841" s="35" t="inlineStr">
        <is>
          <t>Medium</t>
        </is>
      </c>
      <c r="I841" s="33" t="inlineStr">
        <is>
          <t>Computed great-circle distance (city centre to city centre)</t>
        </is>
      </c>
      <c r="J841" s="35" t="n"/>
      <c r="K841" s="33" t="n"/>
      <c r="L841" s="35">
        <f>COUNTIFS($A$2:$A$1501,A841,$D$2:$D$1501,D841)</f>
        <v/>
      </c>
    </row>
    <row r="842">
      <c r="A842" s="35" t="n">
        <v>169</v>
      </c>
      <c r="B842" s="41" t="n">
        <v>46468</v>
      </c>
      <c r="C842" s="35" t="n">
        <v>1</v>
      </c>
      <c r="D842" s="33" t="inlineStr">
        <is>
          <t>Space and Science</t>
        </is>
      </c>
      <c r="E842" s="36" t="inlineStr">
        <is>
          <t>How wide is the main mirror of the James Webb Space Telescope?</t>
        </is>
      </c>
      <c r="F842" s="42" t="n">
        <v>6.5</v>
      </c>
      <c r="G842" s="33" t="inlineStr">
        <is>
          <t>metres</t>
        </is>
      </c>
      <c r="H842" s="35" t="inlineStr">
        <is>
          <t>Medium</t>
        </is>
      </c>
      <c r="I842" s="33" t="inlineStr">
        <is>
          <t>NASA</t>
        </is>
      </c>
      <c r="J842" s="35" t="n"/>
      <c r="K842" s="33" t="inlineStr">
        <is>
          <t>Added Oct 2026. Spot check before this day goes live.</t>
        </is>
      </c>
      <c r="L842" s="35">
        <f>COUNTIFS($A$2:$A$1501,A842,$D$2:$D$1501,D842)</f>
        <v/>
      </c>
    </row>
    <row r="843">
      <c r="A843" s="35" t="n">
        <v>169</v>
      </c>
      <c r="B843" s="41" t="n">
        <v>46468</v>
      </c>
      <c r="C843" s="35" t="n">
        <v>2</v>
      </c>
      <c r="D843" s="33" t="inlineStr">
        <is>
          <t>Movies, Music and Games</t>
        </is>
      </c>
      <c r="E843" s="36" t="inlineStr">
        <is>
          <t>How many different shapes of Tetris pieces are there?</t>
        </is>
      </c>
      <c r="F843" s="42" t="n">
        <v>7</v>
      </c>
      <c r="G843" s="33" t="inlineStr">
        <is>
          <t>shapes</t>
        </is>
      </c>
      <c r="H843" s="35" t="inlineStr">
        <is>
          <t>Medium</t>
        </is>
      </c>
      <c r="I843" s="33" t="inlineStr">
        <is>
          <t>The Tetris Company</t>
        </is>
      </c>
      <c r="J843" s="35" t="n"/>
      <c r="K843" s="33" t="inlineStr">
        <is>
          <t>Added Oct 2026. Spot check before this day goes live.</t>
        </is>
      </c>
      <c r="L843" s="35">
        <f>COUNTIFS($A$2:$A$1501,A843,$D$2:$D$1501,D843)</f>
        <v/>
      </c>
    </row>
    <row r="844">
      <c r="A844" s="35" t="n">
        <v>169</v>
      </c>
      <c r="B844" s="41" t="n">
        <v>46468</v>
      </c>
      <c r="C844" s="35" t="n">
        <v>3</v>
      </c>
      <c r="D844" s="33" t="inlineStr">
        <is>
          <t>Food and Everyday Life</t>
        </is>
      </c>
      <c r="E844" s="36" t="inlineStr">
        <is>
          <t>How hot is a typical deep fryer?</t>
        </is>
      </c>
      <c r="F844" s="42" t="n">
        <v>180</v>
      </c>
      <c r="G844" s="33" t="inlineStr">
        <is>
          <t>°C</t>
        </is>
      </c>
      <c r="H844" s="35" t="inlineStr">
        <is>
          <t>Hard</t>
        </is>
      </c>
      <c r="I844" s="33" t="inlineStr">
        <is>
          <t>Health Canada</t>
        </is>
      </c>
      <c r="J844" s="35" t="n"/>
      <c r="K844" s="33" t="inlineStr">
        <is>
          <t>Added Oct 2026. Spot check before this day goes live.</t>
        </is>
      </c>
      <c r="L844" s="35">
        <f>COUNTIFS($A$2:$A$1501,A844,$D$2:$D$1501,D844)</f>
        <v/>
      </c>
    </row>
    <row r="845">
      <c r="A845" s="35" t="n">
        <v>169</v>
      </c>
      <c r="B845" s="41" t="n">
        <v>46468</v>
      </c>
      <c r="C845" s="35" t="n">
        <v>4</v>
      </c>
      <c r="D845" s="33" t="inlineStr">
        <is>
          <t>Animals and Nature</t>
        </is>
      </c>
      <c r="E845" s="36" t="inlineStr">
        <is>
          <t>How wide is an Andean condor's wingspan?</t>
        </is>
      </c>
      <c r="F845" s="42" t="n">
        <v>3.2</v>
      </c>
      <c r="G845" s="33" t="inlineStr">
        <is>
          <t>metres</t>
        </is>
      </c>
      <c r="H845" s="35" t="inlineStr">
        <is>
          <t>Hard</t>
        </is>
      </c>
      <c r="I845" s="33" t="inlineStr">
        <is>
          <t>Smithsonian</t>
        </is>
      </c>
      <c r="J845" s="35" t="n"/>
      <c r="K845" s="33" t="inlineStr">
        <is>
          <t>Added Oct 2026. Spot check before this day goes live.</t>
        </is>
      </c>
      <c r="L845" s="35">
        <f>COUNTIFS($A$2:$A$1501,A845,$D$2:$D$1501,D845)</f>
        <v/>
      </c>
    </row>
    <row r="846">
      <c r="A846" s="35" t="n">
        <v>169</v>
      </c>
      <c r="B846" s="41" t="n">
        <v>46468</v>
      </c>
      <c r="C846" s="35" t="n">
        <v>5</v>
      </c>
      <c r="D846" s="33" t="inlineStr">
        <is>
          <t>Distance of the Day</t>
        </is>
      </c>
      <c r="E846" s="36" t="inlineStr">
        <is>
          <t>How far is it in a straight line from Amsterdam to Prague?</t>
        </is>
      </c>
      <c r="F846" s="42" t="n">
        <v>710</v>
      </c>
      <c r="G846" s="33" t="inlineStr">
        <is>
          <t>km</t>
        </is>
      </c>
      <c r="H846" s="35" t="inlineStr">
        <is>
          <t>Easy</t>
        </is>
      </c>
      <c r="I846" s="33" t="inlineStr">
        <is>
          <t>Computed great-circle distance (city centre to city centre)</t>
        </is>
      </c>
      <c r="J846" s="35" t="n"/>
      <c r="K846" s="33" t="n"/>
      <c r="L846" s="35">
        <f>COUNTIFS($A$2:$A$1501,A846,$D$2:$D$1501,D846)</f>
        <v/>
      </c>
    </row>
    <row r="847">
      <c r="A847" s="35" t="n">
        <v>170</v>
      </c>
      <c r="B847" s="41" t="n">
        <v>46469</v>
      </c>
      <c r="C847" s="35" t="n">
        <v>1</v>
      </c>
      <c r="D847" s="33" t="inlineStr">
        <is>
          <t>Geography</t>
        </is>
      </c>
      <c r="E847" s="36" t="inlineStr">
        <is>
          <t>What percentage of Earth's surface is covered by water?</t>
        </is>
      </c>
      <c r="F847" s="42" t="n">
        <v>71</v>
      </c>
      <c r="G847" s="33" t="inlineStr">
        <is>
          <t>%</t>
        </is>
      </c>
      <c r="H847" s="35" t="inlineStr">
        <is>
          <t>Easy</t>
        </is>
      </c>
      <c r="I847" s="33" t="inlineStr">
        <is>
          <t>USGS</t>
        </is>
      </c>
      <c r="J847" s="35" t="n"/>
      <c r="K847" s="33" t="inlineStr">
        <is>
          <t>Added Oct 2026. Spot check before this day goes live.</t>
        </is>
      </c>
      <c r="L847" s="35">
        <f>COUNTIFS($A$2:$A$1501,A847,$D$2:$D$1501,D847)</f>
        <v/>
      </c>
    </row>
    <row r="848">
      <c r="A848" s="35" t="n">
        <v>170</v>
      </c>
      <c r="B848" s="41" t="n">
        <v>46469</v>
      </c>
      <c r="C848" s="35" t="n">
        <v>2</v>
      </c>
      <c r="D848" s="33" t="inlineStr">
        <is>
          <t>Sports</t>
        </is>
      </c>
      <c r="E848" s="36" t="inlineStr">
        <is>
          <t>How many points per game did Wilt Chamberlain average in the 1961-62 NBA season?</t>
        </is>
      </c>
      <c r="F848" s="42" t="n">
        <v>50.4</v>
      </c>
      <c r="G848" s="33" t="inlineStr">
        <is>
          <t>points</t>
        </is>
      </c>
      <c r="H848" s="35" t="inlineStr">
        <is>
          <t>Medium</t>
        </is>
      </c>
      <c r="I848" s="33" t="inlineStr">
        <is>
          <t>NBA.com</t>
        </is>
      </c>
      <c r="J848" s="35" t="n"/>
      <c r="K848" s="33" t="inlineStr">
        <is>
          <t>Added Oct 2026. Spot check before this day goes live.</t>
        </is>
      </c>
      <c r="L848" s="35">
        <f>COUNTIFS($A$2:$A$1501,A848,$D$2:$D$1501,D848)</f>
        <v/>
      </c>
    </row>
    <row r="849">
      <c r="A849" s="35" t="n">
        <v>170</v>
      </c>
      <c r="B849" s="41" t="n">
        <v>46469</v>
      </c>
      <c r="C849" s="35" t="n">
        <v>3</v>
      </c>
      <c r="D849" s="33" t="inlineStr">
        <is>
          <t>Buildings and Engineering</t>
        </is>
      </c>
      <c r="E849" s="36" t="inlineStr">
        <is>
          <t>How wide is the wingspan of a Boeing 747-400?</t>
        </is>
      </c>
      <c r="F849" s="42" t="n">
        <v>64.40000000000001</v>
      </c>
      <c r="G849" s="33" t="inlineStr">
        <is>
          <t>metres</t>
        </is>
      </c>
      <c r="H849" s="35" t="inlineStr">
        <is>
          <t>Hard</t>
        </is>
      </c>
      <c r="I849" s="33" t="inlineStr">
        <is>
          <t>Boeing</t>
        </is>
      </c>
      <c r="J849" s="35" t="n"/>
      <c r="K849" s="33" t="inlineStr">
        <is>
          <t>Added Oct 2026. Spot check before this day goes live.</t>
        </is>
      </c>
      <c r="L849" s="35">
        <f>COUNTIFS($A$2:$A$1501,A849,$D$2:$D$1501,D849)</f>
        <v/>
      </c>
    </row>
    <row r="850">
      <c r="A850" s="35" t="n">
        <v>170</v>
      </c>
      <c r="B850" s="41" t="n">
        <v>46469</v>
      </c>
      <c r="C850" s="35" t="n">
        <v>4</v>
      </c>
      <c r="D850" s="33" t="inlineStr">
        <is>
          <t>History</t>
        </is>
      </c>
      <c r="E850" s="36" t="inlineStr">
        <is>
          <t>How many people have served as US president?</t>
        </is>
      </c>
      <c r="F850" s="42" t="n">
        <v>45</v>
      </c>
      <c r="G850" s="33" t="inlineStr">
        <is>
          <t>people</t>
        </is>
      </c>
      <c r="H850" s="35" t="inlineStr">
        <is>
          <t>Hard</t>
        </is>
      </c>
      <c r="I850" s="33" t="inlineStr">
        <is>
          <t>White House</t>
        </is>
      </c>
      <c r="J850" s="35" t="n"/>
      <c r="K850" s="33" t="inlineStr">
        <is>
          <t>Added Oct 2026. Spot check before this day goes live.</t>
        </is>
      </c>
      <c r="L850" s="35">
        <f>COUNTIFS($A$2:$A$1501,A850,$D$2:$D$1501,D850)</f>
        <v/>
      </c>
    </row>
    <row r="851">
      <c r="A851" s="35" t="n">
        <v>170</v>
      </c>
      <c r="B851" s="41" t="n">
        <v>46469</v>
      </c>
      <c r="C851" s="35" t="n">
        <v>5</v>
      </c>
      <c r="D851" s="33" t="inlineStr">
        <is>
          <t>Distance of the Day</t>
        </is>
      </c>
      <c r="E851" s="36" t="inlineStr">
        <is>
          <t>How far is it in a straight line from Edinburgh to Addis Ababa?</t>
        </is>
      </c>
      <c r="F851" s="42" t="n">
        <v>6370</v>
      </c>
      <c r="G851" s="33" t="inlineStr">
        <is>
          <t>km</t>
        </is>
      </c>
      <c r="H851" s="35" t="inlineStr">
        <is>
          <t>Medium</t>
        </is>
      </c>
      <c r="I851" s="33" t="inlineStr">
        <is>
          <t>Computed great-circle distance (city centre to city centre)</t>
        </is>
      </c>
      <c r="J851" s="35" t="n"/>
      <c r="K851" s="33" t="n"/>
      <c r="L851" s="35">
        <f>COUNTIFS($A$2:$A$1501,A851,$D$2:$D$1501,D851)</f>
        <v/>
      </c>
    </row>
    <row r="852">
      <c r="A852" s="35" t="n">
        <v>171</v>
      </c>
      <c r="B852" s="41" t="n">
        <v>46470</v>
      </c>
      <c r="C852" s="35" t="n">
        <v>1</v>
      </c>
      <c r="D852" s="33" t="inlineStr">
        <is>
          <t>Human Body</t>
        </is>
      </c>
      <c r="E852" s="36" t="inlineStr">
        <is>
          <t>How many ribs does a human have?</t>
        </is>
      </c>
      <c r="F852" s="42" t="n">
        <v>24</v>
      </c>
      <c r="G852" s="33" t="inlineStr">
        <is>
          <t>ribs</t>
        </is>
      </c>
      <c r="H852" s="35" t="inlineStr">
        <is>
          <t>Easy</t>
        </is>
      </c>
      <c r="I852" s="33" t="inlineStr">
        <is>
          <t>Britannica</t>
        </is>
      </c>
      <c r="J852" s="35" t="n"/>
      <c r="K852" s="33" t="inlineStr">
        <is>
          <t>Added Oct 2026. Spot check before this day goes live.</t>
        </is>
      </c>
      <c r="L852" s="35">
        <f>COUNTIFS($A$2:$A$1501,A852,$D$2:$D$1501,D852)</f>
        <v/>
      </c>
    </row>
    <row r="853">
      <c r="A853" s="35" t="n">
        <v>171</v>
      </c>
      <c r="B853" s="41" t="n">
        <v>46470</v>
      </c>
      <c r="C853" s="35" t="n">
        <v>2</v>
      </c>
      <c r="D853" s="33" t="inlineStr">
        <is>
          <t>Canada</t>
        </is>
      </c>
      <c r="E853" s="36" t="inlineStr">
        <is>
          <t>How tall is the Calgary Tower?</t>
        </is>
      </c>
      <c r="F853" s="42" t="n">
        <v>191</v>
      </c>
      <c r="G853" s="33" t="inlineStr">
        <is>
          <t>metres</t>
        </is>
      </c>
      <c r="H853" s="35" t="inlineStr">
        <is>
          <t>Medium</t>
        </is>
      </c>
      <c r="I853" s="33" t="inlineStr">
        <is>
          <t>Calgary Tower</t>
        </is>
      </c>
      <c r="J853" s="35" t="n"/>
      <c r="K853" s="33" t="inlineStr">
        <is>
          <t>Added Oct 2026. Spot check before this day goes live.</t>
        </is>
      </c>
      <c r="L853" s="35">
        <f>COUNTIFS($A$2:$A$1501,A853,$D$2:$D$1501,D853)</f>
        <v/>
      </c>
    </row>
    <row r="854">
      <c r="A854" s="35" t="n">
        <v>171</v>
      </c>
      <c r="B854" s="41" t="n">
        <v>46470</v>
      </c>
      <c r="C854" s="35" t="n">
        <v>3</v>
      </c>
      <c r="D854" s="33" t="inlineStr">
        <is>
          <t>Food and Everyday Life</t>
        </is>
      </c>
      <c r="E854" s="36" t="inlineStr">
        <is>
          <t>How many minutes are in a week?</t>
        </is>
      </c>
      <c r="F854" s="42" t="n">
        <v>10080</v>
      </c>
      <c r="G854" s="33" t="inlineStr">
        <is>
          <t>minutes</t>
        </is>
      </c>
      <c r="H854" s="35" t="inlineStr">
        <is>
          <t>Medium</t>
        </is>
      </c>
      <c r="I854" s="33" t="inlineStr">
        <is>
          <t>NIST</t>
        </is>
      </c>
      <c r="J854" s="35" t="n"/>
      <c r="K854" s="33" t="inlineStr">
        <is>
          <t>Added Oct 2026. Spot check before this day goes live.</t>
        </is>
      </c>
      <c r="L854" s="35">
        <f>COUNTIFS($A$2:$A$1501,A854,$D$2:$D$1501,D854)</f>
        <v/>
      </c>
    </row>
    <row r="855">
      <c r="A855" s="35" t="n">
        <v>171</v>
      </c>
      <c r="B855" s="41" t="n">
        <v>46470</v>
      </c>
      <c r="C855" s="35" t="n">
        <v>4</v>
      </c>
      <c r="D855" s="33" t="inlineStr">
        <is>
          <t>Space and Science</t>
        </is>
      </c>
      <c r="E855" s="36" t="inlineStr">
        <is>
          <t>What is the atomic number of platinum?</t>
        </is>
      </c>
      <c r="F855" s="42" t="n">
        <v>78</v>
      </c>
      <c r="G855" s="33" t="n"/>
      <c r="H855" s="35" t="inlineStr">
        <is>
          <t>Hard</t>
        </is>
      </c>
      <c r="I855" s="33" t="inlineStr">
        <is>
          <t>IUPAC periodic table</t>
        </is>
      </c>
      <c r="J855" s="35" t="n"/>
      <c r="K855" s="33" t="inlineStr">
        <is>
          <t>Added Oct 2026. Spot check before this day goes live.</t>
        </is>
      </c>
      <c r="L855" s="35">
        <f>COUNTIFS($A$2:$A$1501,A855,$D$2:$D$1501,D855)</f>
        <v/>
      </c>
    </row>
    <row r="856">
      <c r="A856" s="35" t="n">
        <v>171</v>
      </c>
      <c r="B856" s="41" t="n">
        <v>46470</v>
      </c>
      <c r="C856" s="35" t="n">
        <v>5</v>
      </c>
      <c r="D856" s="33" t="inlineStr">
        <is>
          <t>Distance of the Day</t>
        </is>
      </c>
      <c r="E856" s="36" t="inlineStr">
        <is>
          <t>How far is it in a straight line from Halifax to Mumbai?</t>
        </is>
      </c>
      <c r="F856" s="42" t="n">
        <v>11670</v>
      </c>
      <c r="G856" s="33" t="inlineStr">
        <is>
          <t>km</t>
        </is>
      </c>
      <c r="H856" s="35" t="inlineStr">
        <is>
          <t>Hard</t>
        </is>
      </c>
      <c r="I856" s="33" t="inlineStr">
        <is>
          <t>Computed great-circle distance (city centre to city centre)</t>
        </is>
      </c>
      <c r="J856" s="35" t="n"/>
      <c r="K856" s="33" t="n"/>
      <c r="L856" s="35">
        <f>COUNTIFS($A$2:$A$1501,A856,$D$2:$D$1501,D856)</f>
        <v/>
      </c>
    </row>
    <row r="857">
      <c r="A857" s="35" t="n">
        <v>172</v>
      </c>
      <c r="B857" s="41" t="n">
        <v>46471</v>
      </c>
      <c r="C857" s="35" t="n">
        <v>1</v>
      </c>
      <c r="D857" s="33" t="inlineStr">
        <is>
          <t>Sports</t>
        </is>
      </c>
      <c r="E857" s="36" t="inlineStr">
        <is>
          <t>How heavy is an official MLB baseball?</t>
        </is>
      </c>
      <c r="F857" s="42" t="n">
        <v>145</v>
      </c>
      <c r="G857" s="33" t="inlineStr">
        <is>
          <t>grams</t>
        </is>
      </c>
      <c r="H857" s="35" t="inlineStr">
        <is>
          <t>Medium</t>
        </is>
      </c>
      <c r="I857" s="33" t="inlineStr">
        <is>
          <t>MLB rulebook</t>
        </is>
      </c>
      <c r="J857" s="35" t="n"/>
      <c r="K857" s="33" t="inlineStr">
        <is>
          <t>Added Oct 2026. Spot check before this day goes live.</t>
        </is>
      </c>
      <c r="L857" s="35">
        <f>COUNTIFS($A$2:$A$1501,A857,$D$2:$D$1501,D857)</f>
        <v/>
      </c>
    </row>
    <row r="858">
      <c r="A858" s="35" t="n">
        <v>172</v>
      </c>
      <c r="B858" s="41" t="n">
        <v>46471</v>
      </c>
      <c r="C858" s="35" t="n">
        <v>2</v>
      </c>
      <c r="D858" s="33" t="inlineStr">
        <is>
          <t>History</t>
        </is>
      </c>
      <c r="E858" s="36" t="inlineStr">
        <is>
          <t>How many years did Prohibition last in the United States?</t>
        </is>
      </c>
      <c r="F858" s="42" t="n">
        <v>13</v>
      </c>
      <c r="G858" s="33" t="inlineStr">
        <is>
          <t>years</t>
        </is>
      </c>
      <c r="H858" s="35" t="inlineStr">
        <is>
          <t>Medium</t>
        </is>
      </c>
      <c r="I858" s="33" t="inlineStr">
        <is>
          <t>US National Archives</t>
        </is>
      </c>
      <c r="J858" s="35" t="n"/>
      <c r="K858" s="33" t="inlineStr">
        <is>
          <t>Added Oct 2026. Spot check before this day goes live.</t>
        </is>
      </c>
      <c r="L858" s="35">
        <f>COUNTIFS($A$2:$A$1501,A858,$D$2:$D$1501,D858)</f>
        <v/>
      </c>
    </row>
    <row r="859">
      <c r="A859" s="35" t="n">
        <v>172</v>
      </c>
      <c r="B859" s="41" t="n">
        <v>46471</v>
      </c>
      <c r="C859" s="35" t="n">
        <v>3</v>
      </c>
      <c r="D859" s="33" t="inlineStr">
        <is>
          <t>Geography</t>
        </is>
      </c>
      <c r="E859" s="36" t="inlineStr">
        <is>
          <t>How long is the Zambezi River?</t>
        </is>
      </c>
      <c r="F859" s="42" t="n">
        <v>2574</v>
      </c>
      <c r="G859" s="33" t="inlineStr">
        <is>
          <t>km</t>
        </is>
      </c>
      <c r="H859" s="35" t="inlineStr">
        <is>
          <t>Hard</t>
        </is>
      </c>
      <c r="I859" s="33" t="inlineStr">
        <is>
          <t>Britannica</t>
        </is>
      </c>
      <c r="J859" s="35" t="n"/>
      <c r="K859" s="33" t="inlineStr">
        <is>
          <t>Added Oct 2026. Spot check before this day goes live.</t>
        </is>
      </c>
      <c r="L859" s="35">
        <f>COUNTIFS($A$2:$A$1501,A859,$D$2:$D$1501,D859)</f>
        <v/>
      </c>
    </row>
    <row r="860">
      <c r="A860" s="35" t="n">
        <v>172</v>
      </c>
      <c r="B860" s="41" t="n">
        <v>46471</v>
      </c>
      <c r="C860" s="35" t="n">
        <v>4</v>
      </c>
      <c r="D860" s="33" t="inlineStr">
        <is>
          <t>Buildings and Engineering</t>
        </is>
      </c>
      <c r="E860" s="36" t="inlineStr">
        <is>
          <t>How heavy could the Antonov An-225, the largest plane ever, be at takeoff?</t>
        </is>
      </c>
      <c r="F860" s="42" t="n">
        <v>640</v>
      </c>
      <c r="G860" s="33" t="inlineStr">
        <is>
          <t>tonnes</t>
        </is>
      </c>
      <c r="H860" s="35" t="inlineStr">
        <is>
          <t>Hard</t>
        </is>
      </c>
      <c r="I860" s="33" t="inlineStr">
        <is>
          <t>Antonov</t>
        </is>
      </c>
      <c r="J860" s="35" t="n"/>
      <c r="K860" s="33" t="inlineStr">
        <is>
          <t>Added Oct 2026. Spot check before this day goes live.</t>
        </is>
      </c>
      <c r="L860" s="35">
        <f>COUNTIFS($A$2:$A$1501,A860,$D$2:$D$1501,D860)</f>
        <v/>
      </c>
    </row>
    <row r="861">
      <c r="A861" s="35" t="n">
        <v>172</v>
      </c>
      <c r="B861" s="41" t="n">
        <v>46471</v>
      </c>
      <c r="C861" s="35" t="n">
        <v>5</v>
      </c>
      <c r="D861" s="33" t="inlineStr">
        <is>
          <t>Distance of the Day</t>
        </is>
      </c>
      <c r="E861" s="36" t="inlineStr">
        <is>
          <t>How far is it in a straight line from London to Amsterdam?</t>
        </is>
      </c>
      <c r="F861" s="42" t="n">
        <v>360</v>
      </c>
      <c r="G861" s="33" t="inlineStr">
        <is>
          <t>km</t>
        </is>
      </c>
      <c r="H861" s="35" t="inlineStr">
        <is>
          <t>Easy</t>
        </is>
      </c>
      <c r="I861" s="33" t="inlineStr">
        <is>
          <t>Computed great-circle distance (city centre to city centre)</t>
        </is>
      </c>
      <c r="J861" s="35" t="n"/>
      <c r="K861" s="33" t="n"/>
      <c r="L861" s="35">
        <f>COUNTIFS($A$2:$A$1501,A861,$D$2:$D$1501,D861)</f>
        <v/>
      </c>
    </row>
    <row r="862">
      <c r="A862" s="35" t="n">
        <v>173</v>
      </c>
      <c r="B862" s="41" t="n">
        <v>46472</v>
      </c>
      <c r="C862" s="35" t="n">
        <v>1</v>
      </c>
      <c r="D862" s="33" t="inlineStr">
        <is>
          <t>Human Body</t>
        </is>
      </c>
      <c r="E862" s="36" t="inlineStr">
        <is>
          <t>How many baby teeth do children have?</t>
        </is>
      </c>
      <c r="F862" s="42" t="n">
        <v>20</v>
      </c>
      <c r="G862" s="33" t="inlineStr">
        <is>
          <t>teeth</t>
        </is>
      </c>
      <c r="H862" s="35" t="inlineStr">
        <is>
          <t>Easy</t>
        </is>
      </c>
      <c r="I862" s="33" t="inlineStr">
        <is>
          <t>Canadian Dental Association</t>
        </is>
      </c>
      <c r="J862" s="35" t="n"/>
      <c r="K862" s="33" t="inlineStr">
        <is>
          <t>Added Oct 2026. Spot check before this day goes live.</t>
        </is>
      </c>
      <c r="L862" s="35">
        <f>COUNTIFS($A$2:$A$1501,A862,$D$2:$D$1501,D862)</f>
        <v/>
      </c>
    </row>
    <row r="863">
      <c r="A863" s="35" t="n">
        <v>173</v>
      </c>
      <c r="B863" s="41" t="n">
        <v>46472</v>
      </c>
      <c r="C863" s="35" t="n">
        <v>2</v>
      </c>
      <c r="D863" s="33" t="inlineStr">
        <is>
          <t>Animals and Nature</t>
        </is>
      </c>
      <c r="E863" s="36" t="inlineStr">
        <is>
          <t>How long can a saltwater crocodile grow?</t>
        </is>
      </c>
      <c r="F863" s="42" t="n">
        <v>6</v>
      </c>
      <c r="G863" s="33" t="inlineStr">
        <is>
          <t>metres</t>
        </is>
      </c>
      <c r="H863" s="35" t="inlineStr">
        <is>
          <t>Medium</t>
        </is>
      </c>
      <c r="I863" s="33" t="inlineStr">
        <is>
          <t>Australian Museum</t>
        </is>
      </c>
      <c r="J863" s="35" t="n"/>
      <c r="K863" s="33" t="inlineStr">
        <is>
          <t>Added Oct 2026. Spot check before this day goes live.</t>
        </is>
      </c>
      <c r="L863" s="35">
        <f>COUNTIFS($A$2:$A$1501,A863,$D$2:$D$1501,D863)</f>
        <v/>
      </c>
    </row>
    <row r="864">
      <c r="A864" s="35" t="n">
        <v>173</v>
      </c>
      <c r="B864" s="41" t="n">
        <v>46472</v>
      </c>
      <c r="C864" s="35" t="n">
        <v>3</v>
      </c>
      <c r="D864" s="33" t="inlineStr">
        <is>
          <t>Movies, Music and Games</t>
        </is>
      </c>
      <c r="E864" s="36" t="inlineStr">
        <is>
          <t>How old was Mozart when he died?</t>
        </is>
      </c>
      <c r="F864" s="42" t="n">
        <v>35</v>
      </c>
      <c r="G864" s="33" t="inlineStr">
        <is>
          <t>years</t>
        </is>
      </c>
      <c r="H864" s="35" t="inlineStr">
        <is>
          <t>Medium</t>
        </is>
      </c>
      <c r="I864" s="33" t="inlineStr">
        <is>
          <t>Britannica</t>
        </is>
      </c>
      <c r="J864" s="35" t="n"/>
      <c r="K864" s="33" t="inlineStr">
        <is>
          <t>Added Oct 2026. Spot check before this day goes live.</t>
        </is>
      </c>
      <c r="L864" s="35">
        <f>COUNTIFS($A$2:$A$1501,A864,$D$2:$D$1501,D864)</f>
        <v/>
      </c>
    </row>
    <row r="865">
      <c r="A865" s="35" t="n">
        <v>173</v>
      </c>
      <c r="B865" s="41" t="n">
        <v>46472</v>
      </c>
      <c r="C865" s="35" t="n">
        <v>4</v>
      </c>
      <c r="D865" s="33" t="inlineStr">
        <is>
          <t>Canada</t>
        </is>
      </c>
      <c r="E865" s="36" t="inlineStr">
        <is>
          <t>How big is the Columbia Icefield?</t>
        </is>
      </c>
      <c r="F865" s="42" t="n">
        <v>325</v>
      </c>
      <c r="G865" s="33" t="inlineStr">
        <is>
          <t>km²</t>
        </is>
      </c>
      <c r="H865" s="35" t="inlineStr">
        <is>
          <t>Hard</t>
        </is>
      </c>
      <c r="I865" s="33" t="inlineStr">
        <is>
          <t>Parks Canada</t>
        </is>
      </c>
      <c r="J865" s="35" t="n"/>
      <c r="K865" s="33" t="inlineStr">
        <is>
          <t>Added Oct 2026. Spot check before this day goes live.</t>
        </is>
      </c>
      <c r="L865" s="35">
        <f>COUNTIFS($A$2:$A$1501,A865,$D$2:$D$1501,D865)</f>
        <v/>
      </c>
    </row>
    <row r="866">
      <c r="A866" s="35" t="n">
        <v>173</v>
      </c>
      <c r="B866" s="41" t="n">
        <v>46472</v>
      </c>
      <c r="C866" s="35" t="n">
        <v>5</v>
      </c>
      <c r="D866" s="33" t="inlineStr">
        <is>
          <t>Distance of the Day</t>
        </is>
      </c>
      <c r="E866" s="36" t="inlineStr">
        <is>
          <t>How far is it in a straight line from Windsor to Kingston, Jamaica?</t>
        </is>
      </c>
      <c r="F866" s="42" t="n">
        <v>2770</v>
      </c>
      <c r="G866" s="33" t="inlineStr">
        <is>
          <t>km</t>
        </is>
      </c>
      <c r="H866" s="35" t="inlineStr">
        <is>
          <t>Medium</t>
        </is>
      </c>
      <c r="I866" s="33" t="inlineStr">
        <is>
          <t>Computed great-circle distance (city centre to city centre)</t>
        </is>
      </c>
      <c r="J866" s="35" t="n"/>
      <c r="K866" s="33" t="n"/>
      <c r="L866" s="35">
        <f>COUNTIFS($A$2:$A$1501,A866,$D$2:$D$1501,D866)</f>
        <v/>
      </c>
    </row>
    <row r="867">
      <c r="A867" s="35" t="n">
        <v>174</v>
      </c>
      <c r="B867" s="41" t="n">
        <v>46473</v>
      </c>
      <c r="C867" s="35" t="n">
        <v>1</v>
      </c>
      <c r="D867" s="33" t="inlineStr">
        <is>
          <t>Space and Science</t>
        </is>
      </c>
      <c r="E867" s="36" t="inlineStr">
        <is>
          <t>What percentage of the air we breathe is oxygen?</t>
        </is>
      </c>
      <c r="F867" s="42" t="n">
        <v>21</v>
      </c>
      <c r="G867" s="33" t="inlineStr">
        <is>
          <t>%</t>
        </is>
      </c>
      <c r="H867" s="35" t="inlineStr">
        <is>
          <t>Easy</t>
        </is>
      </c>
      <c r="I867" s="33" t="inlineStr">
        <is>
          <t>NASA</t>
        </is>
      </c>
      <c r="J867" s="35" t="n"/>
      <c r="K867" s="33" t="inlineStr">
        <is>
          <t>Added Oct 2026. Spot check before this day goes live.</t>
        </is>
      </c>
      <c r="L867" s="35">
        <f>COUNTIFS($A$2:$A$1501,A867,$D$2:$D$1501,D867)</f>
        <v/>
      </c>
    </row>
    <row r="868">
      <c r="A868" s="35" t="n">
        <v>174</v>
      </c>
      <c r="B868" s="41" t="n">
        <v>46473</v>
      </c>
      <c r="C868" s="35" t="n">
        <v>2</v>
      </c>
      <c r="D868" s="33" t="inlineStr">
        <is>
          <t>Sports</t>
        </is>
      </c>
      <c r="E868" s="36" t="inlineStr">
        <is>
          <t>How high is a men's volleyball net?</t>
        </is>
      </c>
      <c r="F868" s="42" t="n">
        <v>2.43</v>
      </c>
      <c r="G868" s="33" t="inlineStr">
        <is>
          <t>metres</t>
        </is>
      </c>
      <c r="H868" s="35" t="inlineStr">
        <is>
          <t>Medium</t>
        </is>
      </c>
      <c r="I868" s="33" t="inlineStr">
        <is>
          <t>FIVB</t>
        </is>
      </c>
      <c r="J868" s="35" t="n"/>
      <c r="K868" s="33" t="inlineStr">
        <is>
          <t>Added Oct 2026. Spot check before this day goes live.</t>
        </is>
      </c>
      <c r="L868" s="35">
        <f>COUNTIFS($A$2:$A$1501,A868,$D$2:$D$1501,D868)</f>
        <v/>
      </c>
    </row>
    <row r="869">
      <c r="A869" s="35" t="n">
        <v>174</v>
      </c>
      <c r="B869" s="41" t="n">
        <v>46473</v>
      </c>
      <c r="C869" s="35" t="n">
        <v>3</v>
      </c>
      <c r="D869" s="33" t="inlineStr">
        <is>
          <t>Food and Everyday Life</t>
        </is>
      </c>
      <c r="E869" s="36" t="inlineStr">
        <is>
          <t>How many litres of water a day do men need from food and drink?</t>
        </is>
      </c>
      <c r="F869" s="42" t="n">
        <v>3.7</v>
      </c>
      <c r="G869" s="33" t="inlineStr">
        <is>
          <t>litres</t>
        </is>
      </c>
      <c r="H869" s="35" t="inlineStr">
        <is>
          <t>Hard</t>
        </is>
      </c>
      <c r="I869" s="33" t="inlineStr">
        <is>
          <t>National Academies of Sciences</t>
        </is>
      </c>
      <c r="J869" s="35" t="n"/>
      <c r="K869" s="33" t="inlineStr">
        <is>
          <t>Added Oct 2026. Spot check before this day goes live.</t>
        </is>
      </c>
      <c r="L869" s="35">
        <f>COUNTIFS($A$2:$A$1501,A869,$D$2:$D$1501,D869)</f>
        <v/>
      </c>
    </row>
    <row r="870">
      <c r="A870" s="35" t="n">
        <v>174</v>
      </c>
      <c r="B870" s="41" t="n">
        <v>46473</v>
      </c>
      <c r="C870" s="35" t="n">
        <v>4</v>
      </c>
      <c r="D870" s="33" t="inlineStr">
        <is>
          <t>Geography</t>
        </is>
      </c>
      <c r="E870" s="36" t="inlineStr">
        <is>
          <t>How tall is Mount Vinson, the highest mountain in Antarctica?</t>
        </is>
      </c>
      <c r="F870" s="42" t="n">
        <v>4892</v>
      </c>
      <c r="G870" s="33" t="inlineStr">
        <is>
          <t>metres</t>
        </is>
      </c>
      <c r="H870" s="35" t="inlineStr">
        <is>
          <t>Hard</t>
        </is>
      </c>
      <c r="I870" s="33" t="inlineStr">
        <is>
          <t>Britannica</t>
        </is>
      </c>
      <c r="J870" s="35" t="n"/>
      <c r="K870" s="33" t="inlineStr">
        <is>
          <t>Added Oct 2026. Spot check before this day goes live.</t>
        </is>
      </c>
      <c r="L870" s="35">
        <f>COUNTIFS($A$2:$A$1501,A870,$D$2:$D$1501,D870)</f>
        <v/>
      </c>
    </row>
    <row r="871">
      <c r="A871" s="35" t="n">
        <v>174</v>
      </c>
      <c r="B871" s="41" t="n">
        <v>46473</v>
      </c>
      <c r="C871" s="35" t="n">
        <v>5</v>
      </c>
      <c r="D871" s="33" t="inlineStr">
        <is>
          <t>Distance of the Day</t>
        </is>
      </c>
      <c r="E871" s="36" t="inlineStr">
        <is>
          <t>How far is it in a straight line from Los Angeles to Istanbul?</t>
        </is>
      </c>
      <c r="F871" s="42" t="n">
        <v>11020</v>
      </c>
      <c r="G871" s="33" t="inlineStr">
        <is>
          <t>km</t>
        </is>
      </c>
      <c r="H871" s="35" t="inlineStr">
        <is>
          <t>Hard</t>
        </is>
      </c>
      <c r="I871" s="33" t="inlineStr">
        <is>
          <t>Computed great-circle distance (city centre to city centre)</t>
        </is>
      </c>
      <c r="J871" s="35" t="n"/>
      <c r="K871" s="33" t="n"/>
      <c r="L871" s="35">
        <f>COUNTIFS($A$2:$A$1501,A871,$D$2:$D$1501,D871)</f>
        <v/>
      </c>
    </row>
    <row r="872">
      <c r="A872" s="35" t="n">
        <v>175</v>
      </c>
      <c r="B872" s="41" t="n">
        <v>46474</v>
      </c>
      <c r="C872" s="35" t="n">
        <v>1</v>
      </c>
      <c r="D872" s="33" t="inlineStr">
        <is>
          <t>Buildings and Engineering</t>
        </is>
      </c>
      <c r="E872" s="36" t="inlineStr">
        <is>
          <t>How tall is the Willis Tower in Chicago, to its roof?</t>
        </is>
      </c>
      <c r="F872" s="42" t="n">
        <v>442</v>
      </c>
      <c r="G872" s="33" t="inlineStr">
        <is>
          <t>metres</t>
        </is>
      </c>
      <c r="H872" s="35" t="inlineStr">
        <is>
          <t>Medium</t>
        </is>
      </c>
      <c r="I872" s="33" t="inlineStr">
        <is>
          <t>CTBUH</t>
        </is>
      </c>
      <c r="J872" s="35" t="n"/>
      <c r="K872" s="33" t="inlineStr">
        <is>
          <t>Added Oct 2026. Spot check before this day goes live.</t>
        </is>
      </c>
      <c r="L872" s="35">
        <f>COUNTIFS($A$2:$A$1501,A872,$D$2:$D$1501,D872)</f>
        <v/>
      </c>
    </row>
    <row r="873">
      <c r="A873" s="35" t="n">
        <v>175</v>
      </c>
      <c r="B873" s="41" t="n">
        <v>46474</v>
      </c>
      <c r="C873" s="35" t="n">
        <v>2</v>
      </c>
      <c r="D873" s="33" t="inlineStr">
        <is>
          <t>Movies, Music and Games</t>
        </is>
      </c>
      <c r="E873" s="36" t="inlineStr">
        <is>
          <t>How many blocks are in a standard Jenga set?</t>
        </is>
      </c>
      <c r="F873" s="42" t="n">
        <v>54</v>
      </c>
      <c r="G873" s="33" t="inlineStr">
        <is>
          <t>blocks</t>
        </is>
      </c>
      <c r="H873" s="35" t="inlineStr">
        <is>
          <t>Medium</t>
        </is>
      </c>
      <c r="I873" s="33" t="inlineStr">
        <is>
          <t>Hasbro</t>
        </is>
      </c>
      <c r="J873" s="35" t="n"/>
      <c r="K873" s="33" t="inlineStr">
        <is>
          <t>Added Oct 2026. Spot check before this day goes live.</t>
        </is>
      </c>
      <c r="L873" s="35">
        <f>COUNTIFS($A$2:$A$1501,A873,$D$2:$D$1501,D873)</f>
        <v/>
      </c>
    </row>
    <row r="874">
      <c r="A874" s="35" t="n">
        <v>175</v>
      </c>
      <c r="B874" s="41" t="n">
        <v>46474</v>
      </c>
      <c r="C874" s="35" t="n">
        <v>3</v>
      </c>
      <c r="D874" s="33" t="inlineStr">
        <is>
          <t>Canada</t>
        </is>
      </c>
      <c r="E874" s="36" t="inlineStr">
        <is>
          <t>How big is the island of Newfoundland?</t>
        </is>
      </c>
      <c r="F874" s="42" t="n">
        <v>108860</v>
      </c>
      <c r="G874" s="33" t="inlineStr">
        <is>
          <t>km²</t>
        </is>
      </c>
      <c r="H874" s="35" t="inlineStr">
        <is>
          <t>Hard</t>
        </is>
      </c>
      <c r="I874" s="33" t="inlineStr">
        <is>
          <t>Natural Resources Canada</t>
        </is>
      </c>
      <c r="J874" s="35" t="n"/>
      <c r="K874" s="33" t="inlineStr">
        <is>
          <t>Added Oct 2026. Spot check before this day goes live.</t>
        </is>
      </c>
      <c r="L874" s="35">
        <f>COUNTIFS($A$2:$A$1501,A874,$D$2:$D$1501,D874)</f>
        <v/>
      </c>
    </row>
    <row r="875">
      <c r="A875" s="35" t="n">
        <v>175</v>
      </c>
      <c r="B875" s="41" t="n">
        <v>46474</v>
      </c>
      <c r="C875" s="35" t="n">
        <v>4</v>
      </c>
      <c r="D875" s="33" t="inlineStr">
        <is>
          <t>Human Body</t>
        </is>
      </c>
      <c r="E875" s="36" t="inlineStr">
        <is>
          <t>How many years did Charles Osborne have the hiccups, the longest case on record?</t>
        </is>
      </c>
      <c r="F875" s="42" t="n">
        <v>68</v>
      </c>
      <c r="G875" s="33" t="inlineStr">
        <is>
          <t>years</t>
        </is>
      </c>
      <c r="H875" s="35" t="inlineStr">
        <is>
          <t>Hard</t>
        </is>
      </c>
      <c r="I875" s="33" t="inlineStr">
        <is>
          <t>Guinness World Records</t>
        </is>
      </c>
      <c r="J875" s="35" t="n"/>
      <c r="K875" s="33" t="inlineStr">
        <is>
          <t>Added Oct 2026. Spot check before this day goes live.</t>
        </is>
      </c>
      <c r="L875" s="35">
        <f>COUNTIFS($A$2:$A$1501,A875,$D$2:$D$1501,D875)</f>
        <v/>
      </c>
    </row>
    <row r="876">
      <c r="A876" s="35" t="n">
        <v>175</v>
      </c>
      <c r="B876" s="41" t="n">
        <v>46474</v>
      </c>
      <c r="C876" s="35" t="n">
        <v>5</v>
      </c>
      <c r="D876" s="33" t="inlineStr">
        <is>
          <t>Distance of the Day</t>
        </is>
      </c>
      <c r="E876" s="36" t="inlineStr">
        <is>
          <t>How far is it in a straight line from St. John's to Mexico City?</t>
        </is>
      </c>
      <c r="F876" s="42" t="n">
        <v>5210</v>
      </c>
      <c r="G876" s="33" t="inlineStr">
        <is>
          <t>km</t>
        </is>
      </c>
      <c r="H876" s="35" t="inlineStr">
        <is>
          <t>Medium</t>
        </is>
      </c>
      <c r="I876" s="33" t="inlineStr">
        <is>
          <t>Computed great-circle distance (city centre to city centre)</t>
        </is>
      </c>
      <c r="J876" s="35" t="n"/>
      <c r="K876" s="33" t="n"/>
      <c r="L876" s="35">
        <f>COUNTIFS($A$2:$A$1501,A876,$D$2:$D$1501,D876)</f>
        <v/>
      </c>
    </row>
    <row r="877">
      <c r="A877" s="35" t="n">
        <v>176</v>
      </c>
      <c r="B877" s="41" t="n">
        <v>46475</v>
      </c>
      <c r="C877" s="35" t="n">
        <v>1</v>
      </c>
      <c r="D877" s="33" t="inlineStr">
        <is>
          <t>Animals and Nature</t>
        </is>
      </c>
      <c r="E877" s="36" t="inlineStr">
        <is>
          <t>How many spots does a ladybug (seven-spot ladybird) have?</t>
        </is>
      </c>
      <c r="F877" s="42" t="n">
        <v>7</v>
      </c>
      <c r="G877" s="33" t="inlineStr">
        <is>
          <t>spots</t>
        </is>
      </c>
      <c r="H877" s="35" t="inlineStr">
        <is>
          <t>Easy</t>
        </is>
      </c>
      <c r="I877" s="33" t="inlineStr">
        <is>
          <t>Natural History Museum (London)</t>
        </is>
      </c>
      <c r="J877" s="35" t="n"/>
      <c r="K877" s="33" t="inlineStr">
        <is>
          <t>Added Oct 2026. Spot check before this day goes live.</t>
        </is>
      </c>
      <c r="L877" s="35">
        <f>COUNTIFS($A$2:$A$1501,A877,$D$2:$D$1501,D877)</f>
        <v/>
      </c>
    </row>
    <row r="878">
      <c r="A878" s="35" t="n">
        <v>176</v>
      </c>
      <c r="B878" s="41" t="n">
        <v>46475</v>
      </c>
      <c r="C878" s="35" t="n">
        <v>2</v>
      </c>
      <c r="D878" s="33" t="inlineStr">
        <is>
          <t>Sports</t>
        </is>
      </c>
      <c r="E878" s="36" t="inlineStr">
        <is>
          <t>How many Grand Slam singles titles did Roger Federer win?</t>
        </is>
      </c>
      <c r="F878" s="42" t="n">
        <v>20</v>
      </c>
      <c r="G878" s="33" t="inlineStr">
        <is>
          <t>titles</t>
        </is>
      </c>
      <c r="H878" s="35" t="inlineStr">
        <is>
          <t>Medium</t>
        </is>
      </c>
      <c r="I878" s="33" t="inlineStr">
        <is>
          <t>ATP</t>
        </is>
      </c>
      <c r="J878" s="35" t="n"/>
      <c r="K878" s="33" t="inlineStr">
        <is>
          <t>Added Oct 2026. Spot check before this day goes live.</t>
        </is>
      </c>
      <c r="L878" s="35">
        <f>COUNTIFS($A$2:$A$1501,A878,$D$2:$D$1501,D878)</f>
        <v/>
      </c>
    </row>
    <row r="879">
      <c r="A879" s="35" t="n">
        <v>176</v>
      </c>
      <c r="B879" s="41" t="n">
        <v>46475</v>
      </c>
      <c r="C879" s="35" t="n">
        <v>3</v>
      </c>
      <c r="D879" s="33" t="inlineStr">
        <is>
          <t>History</t>
        </is>
      </c>
      <c r="E879" s="36" t="inlineStr">
        <is>
          <t>How many amendments have been made to the US Constitution?</t>
        </is>
      </c>
      <c r="F879" s="42" t="n">
        <v>27</v>
      </c>
      <c r="G879" s="33" t="inlineStr">
        <is>
          <t>amendments</t>
        </is>
      </c>
      <c r="H879" s="35" t="inlineStr">
        <is>
          <t>Medium</t>
        </is>
      </c>
      <c r="I879" s="33" t="inlineStr">
        <is>
          <t>US National Archives</t>
        </is>
      </c>
      <c r="J879" s="35" t="n"/>
      <c r="K879" s="33" t="inlineStr">
        <is>
          <t>Added Oct 2026. Spot check before this day goes live.</t>
        </is>
      </c>
      <c r="L879" s="35">
        <f>COUNTIFS($A$2:$A$1501,A879,$D$2:$D$1501,D879)</f>
        <v/>
      </c>
    </row>
    <row r="880">
      <c r="A880" s="35" t="n">
        <v>176</v>
      </c>
      <c r="B880" s="41" t="n">
        <v>46475</v>
      </c>
      <c r="C880" s="35" t="n">
        <v>4</v>
      </c>
      <c r="D880" s="33" t="inlineStr">
        <is>
          <t>Geography</t>
        </is>
      </c>
      <c r="E880" s="36" t="inlineStr">
        <is>
          <t>How big is France, not counting its overseas regions?</t>
        </is>
      </c>
      <c r="F880" s="42" t="n">
        <v>551695</v>
      </c>
      <c r="G880" s="33" t="inlineStr">
        <is>
          <t>km²</t>
        </is>
      </c>
      <c r="H880" s="35" t="inlineStr">
        <is>
          <t>Hard</t>
        </is>
      </c>
      <c r="I880" s="33" t="inlineStr">
        <is>
          <t>INSEE</t>
        </is>
      </c>
      <c r="J880" s="35" t="n"/>
      <c r="K880" s="33" t="inlineStr">
        <is>
          <t>Added Oct 2026. Spot check before this day goes live.</t>
        </is>
      </c>
      <c r="L880" s="35">
        <f>COUNTIFS($A$2:$A$1501,A880,$D$2:$D$1501,D880)</f>
        <v/>
      </c>
    </row>
    <row r="881">
      <c r="A881" s="35" t="n">
        <v>176</v>
      </c>
      <c r="B881" s="41" t="n">
        <v>46475</v>
      </c>
      <c r="C881" s="35" t="n">
        <v>5</v>
      </c>
      <c r="D881" s="33" t="inlineStr">
        <is>
          <t>Distance of the Day</t>
        </is>
      </c>
      <c r="E881" s="36" t="inlineStr">
        <is>
          <t>How far is it in a straight line from London to Oslo?</t>
        </is>
      </c>
      <c r="F881" s="42" t="n">
        <v>1150</v>
      </c>
      <c r="G881" s="33" t="inlineStr">
        <is>
          <t>km</t>
        </is>
      </c>
      <c r="H881" s="35" t="inlineStr">
        <is>
          <t>Easy</t>
        </is>
      </c>
      <c r="I881" s="33" t="inlineStr">
        <is>
          <t>Computed great-circle distance (city centre to city centre)</t>
        </is>
      </c>
      <c r="J881" s="35" t="n"/>
      <c r="K881" s="33" t="n"/>
      <c r="L881" s="35">
        <f>COUNTIFS($A$2:$A$1501,A881,$D$2:$D$1501,D881)</f>
        <v/>
      </c>
    </row>
    <row r="882">
      <c r="A882" s="35" t="n">
        <v>177</v>
      </c>
      <c r="B882" s="41" t="n">
        <v>46476</v>
      </c>
      <c r="C882" s="35" t="n">
        <v>1</v>
      </c>
      <c r="D882" s="33" t="inlineStr">
        <is>
          <t>Movies, Music and Games</t>
        </is>
      </c>
      <c r="E882" s="36" t="inlineStr">
        <is>
          <t>How many pieces does each player start with in chess?</t>
        </is>
      </c>
      <c r="F882" s="42" t="n">
        <v>16</v>
      </c>
      <c r="G882" s="33" t="inlineStr">
        <is>
          <t>pieces</t>
        </is>
      </c>
      <c r="H882" s="35" t="inlineStr">
        <is>
          <t>Easy</t>
        </is>
      </c>
      <c r="I882" s="33" t="inlineStr">
        <is>
          <t>FIDE</t>
        </is>
      </c>
      <c r="J882" s="35" t="n"/>
      <c r="K882" s="33" t="inlineStr">
        <is>
          <t>Added Oct 2026. Spot check before this day goes live.</t>
        </is>
      </c>
      <c r="L882" s="35">
        <f>COUNTIFS($A$2:$A$1501,A882,$D$2:$D$1501,D882)</f>
        <v/>
      </c>
    </row>
    <row r="883">
      <c r="A883" s="35" t="n">
        <v>177</v>
      </c>
      <c r="B883" s="41" t="n">
        <v>46476</v>
      </c>
      <c r="C883" s="35" t="n">
        <v>2</v>
      </c>
      <c r="D883" s="33" t="inlineStr">
        <is>
          <t>Human Body</t>
        </is>
      </c>
      <c r="E883" s="36" t="inlineStr">
        <is>
          <t>How long is the large intestine?</t>
        </is>
      </c>
      <c r="F883" s="42" t="n">
        <v>1.5</v>
      </c>
      <c r="G883" s="33" t="inlineStr">
        <is>
          <t>metres</t>
        </is>
      </c>
      <c r="H883" s="35" t="inlineStr">
        <is>
          <t>Medium</t>
        </is>
      </c>
      <c r="I883" s="33" t="inlineStr">
        <is>
          <t>Cleveland Clinic</t>
        </is>
      </c>
      <c r="J883" s="35" t="n"/>
      <c r="K883" s="33" t="inlineStr">
        <is>
          <t>Added Oct 2026. Spot check before this day goes live.</t>
        </is>
      </c>
      <c r="L883" s="35">
        <f>COUNTIFS($A$2:$A$1501,A883,$D$2:$D$1501,D883)</f>
        <v/>
      </c>
    </row>
    <row r="884">
      <c r="A884" s="35" t="n">
        <v>177</v>
      </c>
      <c r="B884" s="41" t="n">
        <v>46476</v>
      </c>
      <c r="C884" s="35" t="n">
        <v>3</v>
      </c>
      <c r="D884" s="33" t="inlineStr">
        <is>
          <t>Food and Everyday Life</t>
        </is>
      </c>
      <c r="E884" s="36" t="inlineStr">
        <is>
          <t>How many coffee beans go into one shot of espresso, roughly?</t>
        </is>
      </c>
      <c r="F884" s="42" t="n">
        <v>50</v>
      </c>
      <c r="G884" s="33" t="inlineStr">
        <is>
          <t>beans</t>
        </is>
      </c>
      <c r="H884" s="35" t="inlineStr">
        <is>
          <t>Hard</t>
        </is>
      </c>
      <c r="I884" s="33" t="inlineStr">
        <is>
          <t>Specialty Coffee Association</t>
        </is>
      </c>
      <c r="J884" s="35" t="n"/>
      <c r="K884" s="33" t="inlineStr">
        <is>
          <t>Added Oct 2026. Spot check before this day goes live.</t>
        </is>
      </c>
      <c r="L884" s="35">
        <f>COUNTIFS($A$2:$A$1501,A884,$D$2:$D$1501,D884)</f>
        <v/>
      </c>
    </row>
    <row r="885">
      <c r="A885" s="35" t="n">
        <v>177</v>
      </c>
      <c r="B885" s="41" t="n">
        <v>46476</v>
      </c>
      <c r="C885" s="35" t="n">
        <v>4</v>
      </c>
      <c r="D885" s="33" t="inlineStr">
        <is>
          <t>Canada</t>
        </is>
      </c>
      <c r="E885" s="36" t="inlineStr">
        <is>
          <t>How long is the Ottawa River?</t>
        </is>
      </c>
      <c r="F885" s="42" t="n">
        <v>1271</v>
      </c>
      <c r="G885" s="33" t="inlineStr">
        <is>
          <t>km</t>
        </is>
      </c>
      <c r="H885" s="35" t="inlineStr">
        <is>
          <t>Hard</t>
        </is>
      </c>
      <c r="I885" s="33" t="inlineStr">
        <is>
          <t>Ottawa Riverkeeper</t>
        </is>
      </c>
      <c r="J885" s="35" t="n"/>
      <c r="K885" s="33" t="inlineStr">
        <is>
          <t>Added Oct 2026. Spot check before this day goes live.</t>
        </is>
      </c>
      <c r="L885" s="35">
        <f>COUNTIFS($A$2:$A$1501,A885,$D$2:$D$1501,D885)</f>
        <v/>
      </c>
    </row>
    <row r="886">
      <c r="A886" s="35" t="n">
        <v>177</v>
      </c>
      <c r="B886" s="41" t="n">
        <v>46476</v>
      </c>
      <c r="C886" s="35" t="n">
        <v>5</v>
      </c>
      <c r="D886" s="33" t="inlineStr">
        <is>
          <t>Distance of the Day</t>
        </is>
      </c>
      <c r="E886" s="36" t="inlineStr">
        <is>
          <t>How far is it in a straight line from Kingston, Jamaica to Lima?</t>
        </is>
      </c>
      <c r="F886" s="42" t="n">
        <v>3340</v>
      </c>
      <c r="G886" s="33" t="inlineStr">
        <is>
          <t>km</t>
        </is>
      </c>
      <c r="H886" s="35" t="inlineStr">
        <is>
          <t>Medium</t>
        </is>
      </c>
      <c r="I886" s="33" t="inlineStr">
        <is>
          <t>Computed great-circle distance (city centre to city centre)</t>
        </is>
      </c>
      <c r="J886" s="35" t="n"/>
      <c r="K886" s="33" t="n"/>
      <c r="L886" s="35">
        <f>COUNTIFS($A$2:$A$1501,A886,$D$2:$D$1501,D886)</f>
        <v/>
      </c>
    </row>
    <row r="887">
      <c r="A887" s="35" t="n">
        <v>178</v>
      </c>
      <c r="B887" s="41" t="n">
        <v>46477</v>
      </c>
      <c r="C887" s="35" t="n">
        <v>1</v>
      </c>
      <c r="D887" s="33" t="inlineStr">
        <is>
          <t>Sports</t>
        </is>
      </c>
      <c r="E887" s="36" t="inlineStr">
        <is>
          <t>How many NBA championships did Bill Russell win as a player?</t>
        </is>
      </c>
      <c r="F887" s="42" t="n">
        <v>11</v>
      </c>
      <c r="G887" s="33" t="inlineStr">
        <is>
          <t>championships</t>
        </is>
      </c>
      <c r="H887" s="35" t="inlineStr">
        <is>
          <t>Medium</t>
        </is>
      </c>
      <c r="I887" s="33" t="inlineStr">
        <is>
          <t>NBA.com</t>
        </is>
      </c>
      <c r="J887" s="35" t="n"/>
      <c r="K887" s="33" t="inlineStr">
        <is>
          <t>Added Oct 2026. Spot check before this day goes live.</t>
        </is>
      </c>
      <c r="L887" s="35">
        <f>COUNTIFS($A$2:$A$1501,A887,$D$2:$D$1501,D887)</f>
        <v/>
      </c>
    </row>
    <row r="888">
      <c r="A888" s="35" t="n">
        <v>178</v>
      </c>
      <c r="B888" s="41" t="n">
        <v>46477</v>
      </c>
      <c r="C888" s="35" t="n">
        <v>2</v>
      </c>
      <c r="D888" s="33" t="inlineStr">
        <is>
          <t>Animals and Nature</t>
        </is>
      </c>
      <c r="E888" s="36" t="inlineStr">
        <is>
          <t>How heavy is a newborn elephant calf?</t>
        </is>
      </c>
      <c r="F888" s="42" t="n">
        <v>100</v>
      </c>
      <c r="G888" s="33" t="inlineStr">
        <is>
          <t>kg</t>
        </is>
      </c>
      <c r="H888" s="35" t="inlineStr">
        <is>
          <t>Medium</t>
        </is>
      </c>
      <c r="I888" s="33" t="inlineStr">
        <is>
          <t>WWF</t>
        </is>
      </c>
      <c r="J888" s="35" t="n"/>
      <c r="K888" s="33" t="inlineStr">
        <is>
          <t>Added Oct 2026. Spot check before this day goes live.</t>
        </is>
      </c>
      <c r="L888" s="35">
        <f>COUNTIFS($A$2:$A$1501,A888,$D$2:$D$1501,D888)</f>
        <v/>
      </c>
    </row>
    <row r="889">
      <c r="A889" s="35" t="n">
        <v>178</v>
      </c>
      <c r="B889" s="41" t="n">
        <v>46477</v>
      </c>
      <c r="C889" s="35" t="n">
        <v>3</v>
      </c>
      <c r="D889" s="33" t="inlineStr">
        <is>
          <t>Space and Science</t>
        </is>
      </c>
      <c r="E889" s="36" t="inlineStr">
        <is>
          <t>How far is it around Earth at the equator?</t>
        </is>
      </c>
      <c r="F889" s="42" t="n">
        <v>40075</v>
      </c>
      <c r="G889" s="33" t="inlineStr">
        <is>
          <t>km</t>
        </is>
      </c>
      <c r="H889" s="35" t="inlineStr">
        <is>
          <t>Medium</t>
        </is>
      </c>
      <c r="I889" s="33" t="inlineStr">
        <is>
          <t>NASA</t>
        </is>
      </c>
      <c r="J889" s="35" t="n"/>
      <c r="K889" s="33" t="inlineStr">
        <is>
          <t>Added Oct 2026. Spot check before this day goes live.</t>
        </is>
      </c>
      <c r="L889" s="35">
        <f>COUNTIFS($A$2:$A$1501,A889,$D$2:$D$1501,D889)</f>
        <v/>
      </c>
    </row>
    <row r="890">
      <c r="A890" s="35" t="n">
        <v>178</v>
      </c>
      <c r="B890" s="41" t="n">
        <v>46477</v>
      </c>
      <c r="C890" s="35" t="n">
        <v>4</v>
      </c>
      <c r="D890" s="33" t="inlineStr">
        <is>
          <t>History</t>
        </is>
      </c>
      <c r="E890" s="36" t="inlineStr">
        <is>
          <t>How big was the British Empire at its peak?</t>
        </is>
      </c>
      <c r="F890" s="42" t="n">
        <v>35.5</v>
      </c>
      <c r="G890" s="33" t="inlineStr">
        <is>
          <t>million km²</t>
        </is>
      </c>
      <c r="H890" s="35" t="inlineStr">
        <is>
          <t>Hard</t>
        </is>
      </c>
      <c r="I890" s="33" t="inlineStr">
        <is>
          <t>Britannica</t>
        </is>
      </c>
      <c r="J890" s="35" t="n"/>
      <c r="K890" s="33" t="inlineStr">
        <is>
          <t>Added Oct 2026. Spot check before this day goes live.</t>
        </is>
      </c>
      <c r="L890" s="35">
        <f>COUNTIFS($A$2:$A$1501,A890,$D$2:$D$1501,D890)</f>
        <v/>
      </c>
    </row>
    <row r="891">
      <c r="A891" s="35" t="n">
        <v>178</v>
      </c>
      <c r="B891" s="41" t="n">
        <v>46477</v>
      </c>
      <c r="C891" s="35" t="n">
        <v>5</v>
      </c>
      <c r="D891" s="33" t="inlineStr">
        <is>
          <t>Distance of the Day</t>
        </is>
      </c>
      <c r="E891" s="36" t="inlineStr">
        <is>
          <t>How far is it in a straight line from Denver to Sydney?</t>
        </is>
      </c>
      <c r="F891" s="42" t="n">
        <v>13410</v>
      </c>
      <c r="G891" s="33" t="inlineStr">
        <is>
          <t>km</t>
        </is>
      </c>
      <c r="H891" s="35" t="inlineStr">
        <is>
          <t>Hard</t>
        </is>
      </c>
      <c r="I891" s="33" t="inlineStr">
        <is>
          <t>Computed great-circle distance (city centre to city centre)</t>
        </is>
      </c>
      <c r="J891" s="35" t="n"/>
      <c r="K891" s="33" t="n"/>
      <c r="L891" s="35">
        <f>COUNTIFS($A$2:$A$1501,A891,$D$2:$D$1501,D891)</f>
        <v/>
      </c>
    </row>
    <row r="892">
      <c r="A892" s="35" t="n">
        <v>179</v>
      </c>
      <c r="B892" s="41" t="n">
        <v>46478</v>
      </c>
      <c r="C892" s="35" t="n">
        <v>1</v>
      </c>
      <c r="D892" s="33" t="inlineStr">
        <is>
          <t>Buildings and Engineering</t>
        </is>
      </c>
      <c r="E892" s="36" t="inlineStr">
        <is>
          <t>How long is a standard 40-foot shipping container?</t>
        </is>
      </c>
      <c r="F892" s="42" t="n">
        <v>12.2</v>
      </c>
      <c r="G892" s="33" t="inlineStr">
        <is>
          <t>metres</t>
        </is>
      </c>
      <c r="H892" s="35" t="inlineStr">
        <is>
          <t>Easy</t>
        </is>
      </c>
      <c r="I892" s="33" t="inlineStr">
        <is>
          <t>ISO 668</t>
        </is>
      </c>
      <c r="J892" s="35" t="n"/>
      <c r="K892" s="33" t="inlineStr">
        <is>
          <t>Added Oct 2026. Spot check before this day goes live.</t>
        </is>
      </c>
      <c r="L892" s="35">
        <f>COUNTIFS($A$2:$A$1501,A892,$D$2:$D$1501,D892)</f>
        <v/>
      </c>
    </row>
    <row r="893">
      <c r="A893" s="35" t="n">
        <v>179</v>
      </c>
      <c r="B893" s="41" t="n">
        <v>46478</v>
      </c>
      <c r="C893" s="35" t="n">
        <v>2</v>
      </c>
      <c r="D893" s="33" t="inlineStr">
        <is>
          <t>Food and Everyday Life</t>
        </is>
      </c>
      <c r="E893" s="36" t="inlineStr">
        <is>
          <t>What percentage of a watermelon is water?</t>
        </is>
      </c>
      <c r="F893" s="42" t="n">
        <v>92</v>
      </c>
      <c r="G893" s="33" t="inlineStr">
        <is>
          <t>%</t>
        </is>
      </c>
      <c r="H893" s="35" t="inlineStr">
        <is>
          <t>Medium</t>
        </is>
      </c>
      <c r="I893" s="33" t="inlineStr">
        <is>
          <t>USDA</t>
        </is>
      </c>
      <c r="J893" s="35" t="n"/>
      <c r="K893" s="33" t="inlineStr">
        <is>
          <t>Added Oct 2026. Spot check before this day goes live.</t>
        </is>
      </c>
      <c r="L893" s="35">
        <f>COUNTIFS($A$2:$A$1501,A893,$D$2:$D$1501,D893)</f>
        <v/>
      </c>
    </row>
    <row r="894">
      <c r="A894" s="35" t="n">
        <v>179</v>
      </c>
      <c r="B894" s="41" t="n">
        <v>46478</v>
      </c>
      <c r="C894" s="35" t="n">
        <v>3</v>
      </c>
      <c r="D894" s="33" t="inlineStr">
        <is>
          <t>Movies, Music and Games</t>
        </is>
      </c>
      <c r="E894" s="36" t="inlineStr">
        <is>
          <t>How wide is Picasso's Guernica?</t>
        </is>
      </c>
      <c r="F894" s="42" t="n">
        <v>7.8</v>
      </c>
      <c r="G894" s="33" t="inlineStr">
        <is>
          <t>metres</t>
        </is>
      </c>
      <c r="H894" s="35" t="inlineStr">
        <is>
          <t>Hard</t>
        </is>
      </c>
      <c r="I894" s="33" t="inlineStr">
        <is>
          <t>Museo Reina Sofía</t>
        </is>
      </c>
      <c r="J894" s="35" t="n"/>
      <c r="K894" s="33" t="inlineStr">
        <is>
          <t>Added Oct 2026. Spot check before this day goes live.</t>
        </is>
      </c>
      <c r="L894" s="35">
        <f>COUNTIFS($A$2:$A$1501,A894,$D$2:$D$1501,D894)</f>
        <v/>
      </c>
    </row>
    <row r="895">
      <c r="A895" s="35" t="n">
        <v>179</v>
      </c>
      <c r="B895" s="41" t="n">
        <v>46478</v>
      </c>
      <c r="C895" s="35" t="n">
        <v>4</v>
      </c>
      <c r="D895" s="33" t="inlineStr">
        <is>
          <t>Canada</t>
        </is>
      </c>
      <c r="E895" s="36" t="inlineStr">
        <is>
          <t>How many islands make up the Canadian Arctic Archipelago?</t>
        </is>
      </c>
      <c r="F895" s="42" t="n">
        <v>36563</v>
      </c>
      <c r="G895" s="33" t="inlineStr">
        <is>
          <t>islands</t>
        </is>
      </c>
      <c r="H895" s="35" t="inlineStr">
        <is>
          <t>Hard</t>
        </is>
      </c>
      <c r="I895" s="33" t="inlineStr">
        <is>
          <t>Natural Resources Canada</t>
        </is>
      </c>
      <c r="J895" s="35" t="n"/>
      <c r="K895" s="33" t="inlineStr">
        <is>
          <t>Added Oct 2026. Spot check before this day goes live.</t>
        </is>
      </c>
      <c r="L895" s="35">
        <f>COUNTIFS($A$2:$A$1501,A895,$D$2:$D$1501,D895)</f>
        <v/>
      </c>
    </row>
    <row r="896">
      <c r="A896" s="35" t="n">
        <v>179</v>
      </c>
      <c r="B896" s="41" t="n">
        <v>46478</v>
      </c>
      <c r="C896" s="35" t="n">
        <v>5</v>
      </c>
      <c r="D896" s="33" t="inlineStr">
        <is>
          <t>Distance of the Day</t>
        </is>
      </c>
      <c r="E896" s="36" t="inlineStr">
        <is>
          <t>How far is it in a straight line from Hong Kong to Hanoi?</t>
        </is>
      </c>
      <c r="F896" s="42" t="n">
        <v>870</v>
      </c>
      <c r="G896" s="33" t="inlineStr">
        <is>
          <t>km</t>
        </is>
      </c>
      <c r="H896" s="35" t="inlineStr">
        <is>
          <t>Easy</t>
        </is>
      </c>
      <c r="I896" s="33" t="inlineStr">
        <is>
          <t>Computed great-circle distance (city centre to city centre)</t>
        </is>
      </c>
      <c r="J896" s="35" t="n"/>
      <c r="K896" s="33" t="n"/>
      <c r="L896" s="35">
        <f>COUNTIFS($A$2:$A$1501,A896,$D$2:$D$1501,D896)</f>
        <v/>
      </c>
    </row>
    <row r="897">
      <c r="A897" s="35" t="n">
        <v>180</v>
      </c>
      <c r="B897" s="41" t="n">
        <v>46479</v>
      </c>
      <c r="C897" s="35" t="n">
        <v>1</v>
      </c>
      <c r="D897" s="33" t="inlineStr">
        <is>
          <t>Space and Science</t>
        </is>
      </c>
      <c r="E897" s="36" t="inlineStr">
        <is>
          <t>At what temperature does water freeze, in Fahrenheit?</t>
        </is>
      </c>
      <c r="F897" s="42" t="n">
        <v>32</v>
      </c>
      <c r="G897" s="33" t="inlineStr">
        <is>
          <t>°F</t>
        </is>
      </c>
      <c r="H897" s="35" t="inlineStr">
        <is>
          <t>Easy</t>
        </is>
      </c>
      <c r="I897" s="33" t="inlineStr">
        <is>
          <t>NIST</t>
        </is>
      </c>
      <c r="J897" s="35" t="n"/>
      <c r="K897" s="33" t="inlineStr">
        <is>
          <t>Added Oct 2026. Spot check before this day goes live.</t>
        </is>
      </c>
      <c r="L897" s="35">
        <f>COUNTIFS($A$2:$A$1501,A897,$D$2:$D$1501,D897)</f>
        <v/>
      </c>
    </row>
    <row r="898">
      <c r="A898" s="35" t="n">
        <v>180</v>
      </c>
      <c r="B898" s="41" t="n">
        <v>46479</v>
      </c>
      <c r="C898" s="35" t="n">
        <v>2</v>
      </c>
      <c r="D898" s="33" t="inlineStr">
        <is>
          <t>Sports</t>
        </is>
      </c>
      <c r="E898" s="36" t="inlineStr">
        <is>
          <t>How many Grand Slam singles titles did Serena Williams win?</t>
        </is>
      </c>
      <c r="F898" s="42" t="n">
        <v>23</v>
      </c>
      <c r="G898" s="33" t="inlineStr">
        <is>
          <t>titles</t>
        </is>
      </c>
      <c r="H898" s="35" t="inlineStr">
        <is>
          <t>Medium</t>
        </is>
      </c>
      <c r="I898" s="33" t="inlineStr">
        <is>
          <t>WTA</t>
        </is>
      </c>
      <c r="J898" s="35" t="n"/>
      <c r="K898" s="33" t="inlineStr">
        <is>
          <t>Added Oct 2026. Spot check before this day goes live.</t>
        </is>
      </c>
      <c r="L898" s="35">
        <f>COUNTIFS($A$2:$A$1501,A898,$D$2:$D$1501,D898)</f>
        <v/>
      </c>
    </row>
    <row r="899">
      <c r="A899" s="35" t="n">
        <v>180</v>
      </c>
      <c r="B899" s="41" t="n">
        <v>46479</v>
      </c>
      <c r="C899" s="35" t="n">
        <v>3</v>
      </c>
      <c r="D899" s="33" t="inlineStr">
        <is>
          <t>Animals and Nature</t>
        </is>
      </c>
      <c r="E899" s="36" t="inlineStr">
        <is>
          <t>How tall is an adult male giraffe?</t>
        </is>
      </c>
      <c r="F899" s="42" t="n">
        <v>5.5</v>
      </c>
      <c r="G899" s="33" t="inlineStr">
        <is>
          <t>metres</t>
        </is>
      </c>
      <c r="H899" s="35" t="inlineStr">
        <is>
          <t>Medium</t>
        </is>
      </c>
      <c r="I899" s="33" t="inlineStr">
        <is>
          <t>San Diego Zoo</t>
        </is>
      </c>
      <c r="J899" s="35" t="n"/>
      <c r="K899" s="33" t="inlineStr">
        <is>
          <t>Added Oct 2026. Spot check before this day goes live.</t>
        </is>
      </c>
      <c r="L899" s="35">
        <f>COUNTIFS($A$2:$A$1501,A899,$D$2:$D$1501,D899)</f>
        <v/>
      </c>
    </row>
    <row r="900">
      <c r="A900" s="35" t="n">
        <v>180</v>
      </c>
      <c r="B900" s="41" t="n">
        <v>46479</v>
      </c>
      <c r="C900" s="35" t="n">
        <v>4</v>
      </c>
      <c r="D900" s="33" t="inlineStr">
        <is>
          <t>Human Body</t>
        </is>
      </c>
      <c r="E900" s="36" t="inlineStr">
        <is>
          <t>How tall was Chandra Bahadur Dangi, the shortest adult ever verified?</t>
        </is>
      </c>
      <c r="F900" s="42" t="n">
        <v>54.6</v>
      </c>
      <c r="G900" s="33" t="inlineStr">
        <is>
          <t>cm</t>
        </is>
      </c>
      <c r="H900" s="35" t="inlineStr">
        <is>
          <t>Hard</t>
        </is>
      </c>
      <c r="I900" s="33" t="inlineStr">
        <is>
          <t>Guinness World Records</t>
        </is>
      </c>
      <c r="J900" s="35" t="n"/>
      <c r="K900" s="33" t="inlineStr">
        <is>
          <t>Added Oct 2026. Spot check before this day goes live.</t>
        </is>
      </c>
      <c r="L900" s="35">
        <f>COUNTIFS($A$2:$A$1501,A900,$D$2:$D$1501,D900)</f>
        <v/>
      </c>
    </row>
    <row r="901">
      <c r="A901" s="35" t="n">
        <v>180</v>
      </c>
      <c r="B901" s="41" t="n">
        <v>46479</v>
      </c>
      <c r="C901" s="35" t="n">
        <v>5</v>
      </c>
      <c r="D901" s="33" t="inlineStr">
        <is>
          <t>Distance of the Day</t>
        </is>
      </c>
      <c r="E901" s="36" t="inlineStr">
        <is>
          <t>How far is it in a straight line from Yellowknife to Chicago?</t>
        </is>
      </c>
      <c r="F901" s="42" t="n">
        <v>2880</v>
      </c>
      <c r="G901" s="33" t="inlineStr">
        <is>
          <t>km</t>
        </is>
      </c>
      <c r="H901" s="35" t="inlineStr">
        <is>
          <t>Medium</t>
        </is>
      </c>
      <c r="I901" s="33" t="inlineStr">
        <is>
          <t>Computed great-circle distance (city centre to city centre)</t>
        </is>
      </c>
      <c r="J901" s="35" t="n"/>
      <c r="K901" s="33" t="n"/>
      <c r="L901" s="35">
        <f>COUNTIFS($A$2:$A$1501,A901,$D$2:$D$1501,D901)</f>
        <v/>
      </c>
    </row>
    <row r="902">
      <c r="A902" s="35" t="n">
        <v>181</v>
      </c>
      <c r="B902" s="41" t="n">
        <v>46480</v>
      </c>
      <c r="C902" s="35" t="n">
        <v>1</v>
      </c>
      <c r="D902" s="33" t="inlineStr">
        <is>
          <t>Buildings and Engineering</t>
        </is>
      </c>
      <c r="E902" s="36" t="inlineStr">
        <is>
          <t>How tall is the Burj Al Arab hotel?</t>
        </is>
      </c>
      <c r="F902" s="42" t="n">
        <v>321</v>
      </c>
      <c r="G902" s="33" t="inlineStr">
        <is>
          <t>metres</t>
        </is>
      </c>
      <c r="H902" s="35" t="inlineStr">
        <is>
          <t>Medium</t>
        </is>
      </c>
      <c r="I902" s="33" t="inlineStr">
        <is>
          <t>CTBUH</t>
        </is>
      </c>
      <c r="J902" s="35" t="n"/>
      <c r="K902" s="33" t="inlineStr">
        <is>
          <t>Added Oct 2026. Spot check before this day goes live.</t>
        </is>
      </c>
      <c r="L902" s="35">
        <f>COUNTIFS($A$2:$A$1501,A902,$D$2:$D$1501,D902)</f>
        <v/>
      </c>
    </row>
    <row r="903">
      <c r="A903" s="35" t="n">
        <v>181</v>
      </c>
      <c r="B903" s="41" t="n">
        <v>46480</v>
      </c>
      <c r="C903" s="35" t="n">
        <v>2</v>
      </c>
      <c r="D903" s="33" t="inlineStr">
        <is>
          <t>History</t>
        </is>
      </c>
      <c r="E903" s="36" t="inlineStr">
        <is>
          <t>How far out from the reactor does the Chernobyl Exclusion Zone reach?</t>
        </is>
      </c>
      <c r="F903" s="42" t="n">
        <v>30</v>
      </c>
      <c r="G903" s="33" t="inlineStr">
        <is>
          <t>km</t>
        </is>
      </c>
      <c r="H903" s="35" t="inlineStr">
        <is>
          <t>Medium</t>
        </is>
      </c>
      <c r="I903" s="33" t="inlineStr">
        <is>
          <t>IAEA</t>
        </is>
      </c>
      <c r="J903" s="35" t="n"/>
      <c r="K903" s="33" t="inlineStr">
        <is>
          <t>Added Oct 2026. Spot check before this day goes live.</t>
        </is>
      </c>
      <c r="L903" s="35">
        <f>COUNTIFS($A$2:$A$1501,A903,$D$2:$D$1501,D903)</f>
        <v/>
      </c>
    </row>
    <row r="904">
      <c r="A904" s="35" t="n">
        <v>181</v>
      </c>
      <c r="B904" s="41" t="n">
        <v>46480</v>
      </c>
      <c r="C904" s="35" t="n">
        <v>3</v>
      </c>
      <c r="D904" s="33" t="inlineStr">
        <is>
          <t>Geography</t>
        </is>
      </c>
      <c r="E904" s="36" t="inlineStr">
        <is>
          <t>How deep is Crater Lake in Oregon?</t>
        </is>
      </c>
      <c r="F904" s="42" t="n">
        <v>594</v>
      </c>
      <c r="G904" s="33" t="inlineStr">
        <is>
          <t>metres</t>
        </is>
      </c>
      <c r="H904" s="35" t="inlineStr">
        <is>
          <t>Hard</t>
        </is>
      </c>
      <c r="I904" s="33" t="inlineStr">
        <is>
          <t>US National Park Service</t>
        </is>
      </c>
      <c r="J904" s="35" t="n"/>
      <c r="K904" s="33" t="inlineStr">
        <is>
          <t>Added Oct 2026. Spot check before this day goes live.</t>
        </is>
      </c>
      <c r="L904" s="35">
        <f>COUNTIFS($A$2:$A$1501,A904,$D$2:$D$1501,D904)</f>
        <v/>
      </c>
    </row>
    <row r="905">
      <c r="A905" s="35" t="n">
        <v>181</v>
      </c>
      <c r="B905" s="41" t="n">
        <v>46480</v>
      </c>
      <c r="C905" s="35" t="n">
        <v>4</v>
      </c>
      <c r="D905" s="33" t="inlineStr">
        <is>
          <t>Movies, Music and Games</t>
        </is>
      </c>
      <c r="E905" s="36" t="inlineStr">
        <is>
          <t>How long is Don McLean's American Pie?</t>
        </is>
      </c>
      <c r="F905" s="42" t="n">
        <v>522</v>
      </c>
      <c r="G905" s="33" t="inlineStr">
        <is>
          <t>seconds</t>
        </is>
      </c>
      <c r="H905" s="35" t="inlineStr">
        <is>
          <t>Hard</t>
        </is>
      </c>
      <c r="I905" s="33" t="inlineStr">
        <is>
          <t>United Artists Records</t>
        </is>
      </c>
      <c r="J905" s="35" t="n"/>
      <c r="K905" s="33" t="inlineStr">
        <is>
          <t>Added Oct 2026. Spot check before this day goes live.</t>
        </is>
      </c>
      <c r="L905" s="35">
        <f>COUNTIFS($A$2:$A$1501,A905,$D$2:$D$1501,D905)</f>
        <v/>
      </c>
    </row>
    <row r="906">
      <c r="A906" s="35" t="n">
        <v>181</v>
      </c>
      <c r="B906" s="41" t="n">
        <v>46480</v>
      </c>
      <c r="C906" s="35" t="n">
        <v>5</v>
      </c>
      <c r="D906" s="33" t="inlineStr">
        <is>
          <t>Distance of the Day</t>
        </is>
      </c>
      <c r="E906" s="36" t="inlineStr">
        <is>
          <t>How far is it in a straight line from Toronto to Buenos Aires?</t>
        </is>
      </c>
      <c r="F906" s="42" t="n">
        <v>8960</v>
      </c>
      <c r="G906" s="33" t="inlineStr">
        <is>
          <t>km</t>
        </is>
      </c>
      <c r="H906" s="35" t="inlineStr">
        <is>
          <t>Hard</t>
        </is>
      </c>
      <c r="I906" s="33" t="inlineStr">
        <is>
          <t>Computed great-circle distance (city centre to city centre)</t>
        </is>
      </c>
      <c r="J906" s="35" t="n"/>
      <c r="K906" s="33" t="n"/>
      <c r="L906" s="35">
        <f>COUNTIFS($A$2:$A$1501,A906,$D$2:$D$1501,D906)</f>
        <v/>
      </c>
    </row>
    <row r="907">
      <c r="A907" s="35" t="n">
        <v>182</v>
      </c>
      <c r="B907" s="41" t="n">
        <v>46481</v>
      </c>
      <c r="C907" s="35" t="n">
        <v>1</v>
      </c>
      <c r="D907" s="33" t="inlineStr">
        <is>
          <t>Food and Everyday Life</t>
        </is>
      </c>
      <c r="E907" s="36" t="inlineStr">
        <is>
          <t>How many hours does a standard work week in Canada have?</t>
        </is>
      </c>
      <c r="F907" s="42" t="n">
        <v>40</v>
      </c>
      <c r="G907" s="33" t="inlineStr">
        <is>
          <t>hours</t>
        </is>
      </c>
      <c r="H907" s="35" t="inlineStr">
        <is>
          <t>Easy</t>
        </is>
      </c>
      <c r="I907" s="33" t="inlineStr">
        <is>
          <t>Employment and Social Development Canada</t>
        </is>
      </c>
      <c r="J907" s="35" t="n"/>
      <c r="K907" s="33" t="inlineStr">
        <is>
          <t>Added Oct 2026. Spot check before this day goes live.</t>
        </is>
      </c>
      <c r="L907" s="35">
        <f>COUNTIFS($A$2:$A$1501,A907,$D$2:$D$1501,D907)</f>
        <v/>
      </c>
    </row>
    <row r="908">
      <c r="A908" s="35" t="n">
        <v>182</v>
      </c>
      <c r="B908" s="41" t="n">
        <v>46481</v>
      </c>
      <c r="C908" s="35" t="n">
        <v>2</v>
      </c>
      <c r="D908" s="33" t="inlineStr">
        <is>
          <t>Sports</t>
        </is>
      </c>
      <c r="E908" s="36" t="inlineStr">
        <is>
          <t>How fast did Florence Griffith-Joyner run her 100 m world record?</t>
        </is>
      </c>
      <c r="F908" s="42" t="n">
        <v>10.49</v>
      </c>
      <c r="G908" s="33" t="inlineStr">
        <is>
          <t>seconds</t>
        </is>
      </c>
      <c r="H908" s="35" t="inlineStr">
        <is>
          <t>Medium</t>
        </is>
      </c>
      <c r="I908" s="33" t="inlineStr">
        <is>
          <t>World Athletics</t>
        </is>
      </c>
      <c r="J908" s="35" t="n"/>
      <c r="K908" s="33" t="inlineStr">
        <is>
          <t>Added Oct 2026. Spot check before this day goes live.</t>
        </is>
      </c>
      <c r="L908" s="35">
        <f>COUNTIFS($A$2:$A$1501,A908,$D$2:$D$1501,D908)</f>
        <v/>
      </c>
    </row>
    <row r="909">
      <c r="A909" s="35" t="n">
        <v>182</v>
      </c>
      <c r="B909" s="41" t="n">
        <v>46481</v>
      </c>
      <c r="C909" s="35" t="n">
        <v>3</v>
      </c>
      <c r="D909" s="33" t="inlineStr">
        <is>
          <t>Canada</t>
        </is>
      </c>
      <c r="E909" s="36" t="inlineStr">
        <is>
          <t>How long is the Alaska Highway?</t>
        </is>
      </c>
      <c r="F909" s="42" t="n">
        <v>2232</v>
      </c>
      <c r="G909" s="33" t="inlineStr">
        <is>
          <t>km</t>
        </is>
      </c>
      <c r="H909" s="35" t="inlineStr">
        <is>
          <t>Hard</t>
        </is>
      </c>
      <c r="I909" s="33" t="inlineStr">
        <is>
          <t>Government of Yukon</t>
        </is>
      </c>
      <c r="J909" s="35" t="n"/>
      <c r="K909" s="33" t="inlineStr">
        <is>
          <t>Added Oct 2026. Spot check before this day goes live.</t>
        </is>
      </c>
      <c r="L909" s="35">
        <f>COUNTIFS($A$2:$A$1501,A909,$D$2:$D$1501,D909)</f>
        <v/>
      </c>
    </row>
    <row r="910">
      <c r="A910" s="35" t="n">
        <v>182</v>
      </c>
      <c r="B910" s="41" t="n">
        <v>46481</v>
      </c>
      <c r="C910" s="35" t="n">
        <v>4</v>
      </c>
      <c r="D910" s="33" t="inlineStr">
        <is>
          <t>Animals and Nature</t>
        </is>
      </c>
      <c r="E910" s="36" t="inlineStr">
        <is>
          <t>How many teeth does a Nile crocodile have?</t>
        </is>
      </c>
      <c r="F910" s="42" t="n">
        <v>66</v>
      </c>
      <c r="G910" s="33" t="inlineStr">
        <is>
          <t>teeth</t>
        </is>
      </c>
      <c r="H910" s="35" t="inlineStr">
        <is>
          <t>Hard</t>
        </is>
      </c>
      <c r="I910" s="33" t="inlineStr">
        <is>
          <t>Britannica</t>
        </is>
      </c>
      <c r="J910" s="35" t="n"/>
      <c r="K910" s="33" t="inlineStr">
        <is>
          <t>Added Oct 2026. Spot check before this day goes live.</t>
        </is>
      </c>
      <c r="L910" s="35">
        <f>COUNTIFS($A$2:$A$1501,A910,$D$2:$D$1501,D910)</f>
        <v/>
      </c>
    </row>
    <row r="911">
      <c r="A911" s="35" t="n">
        <v>182</v>
      </c>
      <c r="B911" s="41" t="n">
        <v>46481</v>
      </c>
      <c r="C911" s="35" t="n">
        <v>5</v>
      </c>
      <c r="D911" s="33" t="inlineStr">
        <is>
          <t>Distance of the Day</t>
        </is>
      </c>
      <c r="E911" s="36" t="inlineStr">
        <is>
          <t>How far is it in a straight line from Regina to Fredericton?</t>
        </is>
      </c>
      <c r="F911" s="42" t="n">
        <v>2830</v>
      </c>
      <c r="G911" s="33" t="inlineStr">
        <is>
          <t>km</t>
        </is>
      </c>
      <c r="H911" s="35" t="inlineStr">
        <is>
          <t>Medium</t>
        </is>
      </c>
      <c r="I911" s="33" t="inlineStr">
        <is>
          <t>Computed great-circle distance (city centre to city centre)</t>
        </is>
      </c>
      <c r="J911" s="35" t="n"/>
      <c r="K911" s="33" t="n"/>
      <c r="L911" s="35">
        <f>COUNTIFS($A$2:$A$1501,A911,$D$2:$D$1501,D911)</f>
        <v/>
      </c>
    </row>
    <row r="912">
      <c r="A912" s="35" t="n">
        <v>183</v>
      </c>
      <c r="B912" s="41" t="n">
        <v>46482</v>
      </c>
      <c r="C912" s="35" t="n">
        <v>1</v>
      </c>
      <c r="D912" s="33" t="inlineStr">
        <is>
          <t>Human Body</t>
        </is>
      </c>
      <c r="E912" s="36" t="inlineStr">
        <is>
          <t>How many bones are in the human ear?</t>
        </is>
      </c>
      <c r="F912" s="42" t="n">
        <v>3</v>
      </c>
      <c r="G912" s="33" t="inlineStr">
        <is>
          <t>bones</t>
        </is>
      </c>
      <c r="H912" s="35" t="inlineStr">
        <is>
          <t>Easy</t>
        </is>
      </c>
      <c r="I912" s="33" t="inlineStr">
        <is>
          <t>Britannica</t>
        </is>
      </c>
      <c r="J912" s="35" t="n"/>
      <c r="K912" s="33" t="inlineStr">
        <is>
          <t>Added Oct 2026. Spot check before this day goes live.</t>
        </is>
      </c>
      <c r="L912" s="35">
        <f>COUNTIFS($A$2:$A$1501,A912,$D$2:$D$1501,D912)</f>
        <v/>
      </c>
    </row>
    <row r="913">
      <c r="A913" s="35" t="n">
        <v>183</v>
      </c>
      <c r="B913" s="41" t="n">
        <v>46482</v>
      </c>
      <c r="C913" s="35" t="n">
        <v>2</v>
      </c>
      <c r="D913" s="33" t="inlineStr">
        <is>
          <t>History</t>
        </is>
      </c>
      <c r="E913" s="36" t="inlineStr">
        <is>
          <t>How many years did it take to carve Mount Rushmore?</t>
        </is>
      </c>
      <c r="F913" s="42" t="n">
        <v>14</v>
      </c>
      <c r="G913" s="33" t="inlineStr">
        <is>
          <t>years</t>
        </is>
      </c>
      <c r="H913" s="35" t="inlineStr">
        <is>
          <t>Medium</t>
        </is>
      </c>
      <c r="I913" s="33" t="inlineStr">
        <is>
          <t>US National Park Service</t>
        </is>
      </c>
      <c r="J913" s="35" t="n"/>
      <c r="K913" s="33" t="inlineStr">
        <is>
          <t>Added Oct 2026. Spot check before this day goes live.</t>
        </is>
      </c>
      <c r="L913" s="35">
        <f>COUNTIFS($A$2:$A$1501,A913,$D$2:$D$1501,D913)</f>
        <v/>
      </c>
    </row>
    <row r="914">
      <c r="A914" s="35" t="n">
        <v>183</v>
      </c>
      <c r="B914" s="41" t="n">
        <v>46482</v>
      </c>
      <c r="C914" s="35" t="n">
        <v>3</v>
      </c>
      <c r="D914" s="33" t="inlineStr">
        <is>
          <t>Buildings and Engineering</t>
        </is>
      </c>
      <c r="E914" s="36" t="inlineStr">
        <is>
          <t>How tall is the Washington Monument?</t>
        </is>
      </c>
      <c r="F914" s="42" t="n">
        <v>169</v>
      </c>
      <c r="G914" s="33" t="inlineStr">
        <is>
          <t>metres</t>
        </is>
      </c>
      <c r="H914" s="35" t="inlineStr">
        <is>
          <t>Medium</t>
        </is>
      </c>
      <c r="I914" s="33" t="inlineStr">
        <is>
          <t>US National Park Service</t>
        </is>
      </c>
      <c r="J914" s="35" t="n"/>
      <c r="K914" s="33" t="inlineStr">
        <is>
          <t>Added Oct 2026. Spot check before this day goes live.</t>
        </is>
      </c>
      <c r="L914" s="35">
        <f>COUNTIFS($A$2:$A$1501,A914,$D$2:$D$1501,D914)</f>
        <v/>
      </c>
    </row>
    <row r="915">
      <c r="A915" s="35" t="n">
        <v>183</v>
      </c>
      <c r="B915" s="41" t="n">
        <v>46482</v>
      </c>
      <c r="C915" s="35" t="n">
        <v>4</v>
      </c>
      <c r="D915" s="33" t="inlineStr">
        <is>
          <t>Geography</t>
        </is>
      </c>
      <c r="E915" s="36" t="inlineStr">
        <is>
          <t>How many islands make up Japan, by the 2023 official count?</t>
        </is>
      </c>
      <c r="F915" s="42" t="n">
        <v>14125</v>
      </c>
      <c r="G915" s="33" t="inlineStr">
        <is>
          <t>islands</t>
        </is>
      </c>
      <c r="H915" s="35" t="inlineStr">
        <is>
          <t>Hard</t>
        </is>
      </c>
      <c r="I915" s="33" t="inlineStr">
        <is>
          <t>Geospatial Information Authority of Japan</t>
        </is>
      </c>
      <c r="J915" s="35" t="n"/>
      <c r="K915" s="33" t="inlineStr">
        <is>
          <t>Added Oct 2026. Spot check before this day goes live.</t>
        </is>
      </c>
      <c r="L915" s="35">
        <f>COUNTIFS($A$2:$A$1501,A915,$D$2:$D$1501,D915)</f>
        <v/>
      </c>
    </row>
    <row r="916">
      <c r="A916" s="35" t="n">
        <v>183</v>
      </c>
      <c r="B916" s="41" t="n">
        <v>46482</v>
      </c>
      <c r="C916" s="35" t="n">
        <v>5</v>
      </c>
      <c r="D916" s="33" t="inlineStr">
        <is>
          <t>Distance of the Day</t>
        </is>
      </c>
      <c r="E916" s="36" t="inlineStr">
        <is>
          <t>How far is it in a straight line from Chicago to Dallas?</t>
        </is>
      </c>
      <c r="F916" s="42" t="n">
        <v>1290</v>
      </c>
      <c r="G916" s="33" t="inlineStr">
        <is>
          <t>km</t>
        </is>
      </c>
      <c r="H916" s="35" t="inlineStr">
        <is>
          <t>Easy</t>
        </is>
      </c>
      <c r="I916" s="33" t="inlineStr">
        <is>
          <t>Computed great-circle distance (city centre to city centre)</t>
        </is>
      </c>
      <c r="J916" s="35" t="n"/>
      <c r="K916" s="33" t="n"/>
      <c r="L916" s="35">
        <f>COUNTIFS($A$2:$A$1501,A916,$D$2:$D$1501,D916)</f>
        <v/>
      </c>
    </row>
    <row r="917">
      <c r="A917" s="35" t="n">
        <v>184</v>
      </c>
      <c r="B917" s="41" t="n">
        <v>46483</v>
      </c>
      <c r="C917" s="35" t="n">
        <v>1</v>
      </c>
      <c r="D917" s="33" t="inlineStr">
        <is>
          <t>Sports</t>
        </is>
      </c>
      <c r="E917" s="36" t="inlineStr">
        <is>
          <t>How many stages are in the Tour de France?</t>
        </is>
      </c>
      <c r="F917" s="42" t="n">
        <v>21</v>
      </c>
      <c r="G917" s="33" t="inlineStr">
        <is>
          <t>stages</t>
        </is>
      </c>
      <c r="H917" s="35" t="inlineStr">
        <is>
          <t>Medium</t>
        </is>
      </c>
      <c r="I917" s="33" t="inlineStr">
        <is>
          <t>Tour de France</t>
        </is>
      </c>
      <c r="J917" s="35" t="n"/>
      <c r="K917" s="33" t="inlineStr">
        <is>
          <t>Added Oct 2026. Spot check before this day goes live.</t>
        </is>
      </c>
      <c r="L917" s="35">
        <f>COUNTIFS($A$2:$A$1501,A917,$D$2:$D$1501,D917)</f>
        <v/>
      </c>
    </row>
    <row r="918">
      <c r="A918" s="35" t="n">
        <v>184</v>
      </c>
      <c r="B918" s="41" t="n">
        <v>46483</v>
      </c>
      <c r="C918" s="35" t="n">
        <v>2</v>
      </c>
      <c r="D918" s="33" t="inlineStr">
        <is>
          <t>Space and Science</t>
        </is>
      </c>
      <c r="E918" s="36" t="inlineStr">
        <is>
          <t>How long is a day on Mars?</t>
        </is>
      </c>
      <c r="F918" s="42" t="n">
        <v>24.6</v>
      </c>
      <c r="G918" s="33" t="inlineStr">
        <is>
          <t>hours</t>
        </is>
      </c>
      <c r="H918" s="35" t="inlineStr">
        <is>
          <t>Medium</t>
        </is>
      </c>
      <c r="I918" s="33" t="inlineStr">
        <is>
          <t>NASA</t>
        </is>
      </c>
      <c r="J918" s="35" t="n"/>
      <c r="K918" s="33" t="inlineStr">
        <is>
          <t>Added Oct 2026. Spot check before this day goes live.</t>
        </is>
      </c>
      <c r="L918" s="35">
        <f>COUNTIFS($A$2:$A$1501,A918,$D$2:$D$1501,D918)</f>
        <v/>
      </c>
    </row>
    <row r="919">
      <c r="A919" s="35" t="n">
        <v>184</v>
      </c>
      <c r="B919" s="41" t="n">
        <v>46483</v>
      </c>
      <c r="C919" s="35" t="n">
        <v>3</v>
      </c>
      <c r="D919" s="33" t="inlineStr">
        <is>
          <t>Animals and Nature</t>
        </is>
      </c>
      <c r="E919" s="36" t="inlineStr">
        <is>
          <t>How many days is a horse pregnant for?</t>
        </is>
      </c>
      <c r="F919" s="42" t="n">
        <v>340</v>
      </c>
      <c r="G919" s="33" t="inlineStr">
        <is>
          <t>days</t>
        </is>
      </c>
      <c r="H919" s="35" t="inlineStr">
        <is>
          <t>Hard</t>
        </is>
      </c>
      <c r="I919" s="33" t="inlineStr">
        <is>
          <t>American Association of Equine Practitioners</t>
        </is>
      </c>
      <c r="J919" s="35" t="n"/>
      <c r="K919" s="33" t="inlineStr">
        <is>
          <t>Added Oct 2026. Spot check before this day goes live.</t>
        </is>
      </c>
      <c r="L919" s="35">
        <f>COUNTIFS($A$2:$A$1501,A919,$D$2:$D$1501,D919)</f>
        <v/>
      </c>
    </row>
    <row r="920">
      <c r="A920" s="35" t="n">
        <v>184</v>
      </c>
      <c r="B920" s="41" t="n">
        <v>46483</v>
      </c>
      <c r="C920" s="35" t="n">
        <v>4</v>
      </c>
      <c r="D920" s="33" t="inlineStr">
        <is>
          <t>Movies, Music and Games</t>
        </is>
      </c>
      <c r="E920" s="36" t="inlineStr">
        <is>
          <t>How many words are in Harry Potter and the Philosopher's Stone?</t>
        </is>
      </c>
      <c r="F920" s="42" t="n">
        <v>77000</v>
      </c>
      <c r="G920" s="33" t="inlineStr">
        <is>
          <t>words</t>
        </is>
      </c>
      <c r="H920" s="35" t="inlineStr">
        <is>
          <t>Hard</t>
        </is>
      </c>
      <c r="I920" s="33" t="inlineStr">
        <is>
          <t>Bloomsbury</t>
        </is>
      </c>
      <c r="J920" s="35" t="n"/>
      <c r="K920" s="33" t="inlineStr">
        <is>
          <t>Added Oct 2026. Spot check before this day goes live.</t>
        </is>
      </c>
      <c r="L920" s="35">
        <f>COUNTIFS($A$2:$A$1501,A920,$D$2:$D$1501,D920)</f>
        <v/>
      </c>
    </row>
    <row r="921">
      <c r="A921" s="35" t="n">
        <v>184</v>
      </c>
      <c r="B921" s="41" t="n">
        <v>46483</v>
      </c>
      <c r="C921" s="35" t="n">
        <v>5</v>
      </c>
      <c r="D921" s="33" t="inlineStr">
        <is>
          <t>Distance of the Day</t>
        </is>
      </c>
      <c r="E921" s="36" t="inlineStr">
        <is>
          <t>How far is it in a straight line from Windsor to Reykjavik?</t>
        </is>
      </c>
      <c r="F921" s="42" t="n">
        <v>4490</v>
      </c>
      <c r="G921" s="33" t="inlineStr">
        <is>
          <t>km</t>
        </is>
      </c>
      <c r="H921" s="35" t="inlineStr">
        <is>
          <t>Medium</t>
        </is>
      </c>
      <c r="I921" s="33" t="inlineStr">
        <is>
          <t>Computed great-circle distance (city centre to city centre)</t>
        </is>
      </c>
      <c r="J921" s="35" t="n"/>
      <c r="K921" s="33" t="n"/>
      <c r="L921" s="35">
        <f>COUNTIFS($A$2:$A$1501,A921,$D$2:$D$1501,D921)</f>
        <v/>
      </c>
    </row>
    <row r="922">
      <c r="A922" s="35" t="n">
        <v>185</v>
      </c>
      <c r="B922" s="41" t="n">
        <v>46484</v>
      </c>
      <c r="C922" s="35" t="n">
        <v>1</v>
      </c>
      <c r="D922" s="33" t="inlineStr">
        <is>
          <t>History</t>
        </is>
      </c>
      <c r="E922" s="36" t="inlineStr">
        <is>
          <t>How many US presidents' faces are carved into Mount Rushmore?</t>
        </is>
      </c>
      <c r="F922" s="42" t="n">
        <v>4</v>
      </c>
      <c r="G922" s="33" t="inlineStr">
        <is>
          <t>faces</t>
        </is>
      </c>
      <c r="H922" s="35" t="inlineStr">
        <is>
          <t>Easy</t>
        </is>
      </c>
      <c r="I922" s="33" t="inlineStr">
        <is>
          <t>US National Park Service</t>
        </is>
      </c>
      <c r="J922" s="35" t="n"/>
      <c r="K922" s="33" t="inlineStr">
        <is>
          <t>Added Oct 2026. Spot check before this day goes live.</t>
        </is>
      </c>
      <c r="L922" s="35">
        <f>COUNTIFS($A$2:$A$1501,A922,$D$2:$D$1501,D922)</f>
        <v/>
      </c>
    </row>
    <row r="923">
      <c r="A923" s="35" t="n">
        <v>185</v>
      </c>
      <c r="B923" s="41" t="n">
        <v>46484</v>
      </c>
      <c r="C923" s="35" t="n">
        <v>2</v>
      </c>
      <c r="D923" s="33" t="inlineStr">
        <is>
          <t>Buildings and Engineering</t>
        </is>
      </c>
      <c r="E923" s="36" t="inlineStr">
        <is>
          <t>How fast does a Boeing 747 cruise?</t>
        </is>
      </c>
      <c r="F923" s="42" t="n">
        <v>920</v>
      </c>
      <c r="G923" s="33" t="inlineStr">
        <is>
          <t>km/h</t>
        </is>
      </c>
      <c r="H923" s="35" t="inlineStr">
        <is>
          <t>Medium</t>
        </is>
      </c>
      <c r="I923" s="33" t="inlineStr">
        <is>
          <t>Boeing</t>
        </is>
      </c>
      <c r="J923" s="35" t="n"/>
      <c r="K923" s="33" t="inlineStr">
        <is>
          <t>Added Oct 2026. Spot check before this day goes live.</t>
        </is>
      </c>
      <c r="L923" s="35">
        <f>COUNTIFS($A$2:$A$1501,A923,$D$2:$D$1501,D923)</f>
        <v/>
      </c>
    </row>
    <row r="924">
      <c r="A924" s="35" t="n">
        <v>185</v>
      </c>
      <c r="B924" s="41" t="n">
        <v>46484</v>
      </c>
      <c r="C924" s="35" t="n">
        <v>3</v>
      </c>
      <c r="D924" s="33" t="inlineStr">
        <is>
          <t>Human Body</t>
        </is>
      </c>
      <c r="E924" s="36" t="inlineStr">
        <is>
          <t>How many hair follicles are on the human body?</t>
        </is>
      </c>
      <c r="F924" s="42" t="n">
        <v>5</v>
      </c>
      <c r="G924" s="33" t="inlineStr">
        <is>
          <t>million</t>
        </is>
      </c>
      <c r="H924" s="35" t="inlineStr">
        <is>
          <t>Hard</t>
        </is>
      </c>
      <c r="I924" s="33" t="inlineStr">
        <is>
          <t>American Academy of Dermatology</t>
        </is>
      </c>
      <c r="J924" s="35" t="n"/>
      <c r="K924" s="33" t="inlineStr">
        <is>
          <t>Added Oct 2026. Spot check before this day goes live.</t>
        </is>
      </c>
      <c r="L924" s="35">
        <f>COUNTIFS($A$2:$A$1501,A924,$D$2:$D$1501,D924)</f>
        <v/>
      </c>
    </row>
    <row r="925">
      <c r="A925" s="35" t="n">
        <v>185</v>
      </c>
      <c r="B925" s="41" t="n">
        <v>46484</v>
      </c>
      <c r="C925" s="35" t="n">
        <v>4</v>
      </c>
      <c r="D925" s="33" t="inlineStr">
        <is>
          <t>Food and Everyday Life</t>
        </is>
      </c>
      <c r="E925" s="36" t="inlineStr">
        <is>
          <t>How heavy is a loonie?</t>
        </is>
      </c>
      <c r="F925" s="42" t="n">
        <v>6.27</v>
      </c>
      <c r="G925" s="33" t="inlineStr">
        <is>
          <t>grams</t>
        </is>
      </c>
      <c r="H925" s="35" t="inlineStr">
        <is>
          <t>Hard</t>
        </is>
      </c>
      <c r="I925" s="33" t="inlineStr">
        <is>
          <t>Royal Canadian Mint</t>
        </is>
      </c>
      <c r="J925" s="35" t="n"/>
      <c r="K925" s="33" t="inlineStr">
        <is>
          <t>Added Oct 2026. Spot check before this day goes live.</t>
        </is>
      </c>
      <c r="L925" s="35">
        <f>COUNTIFS($A$2:$A$1501,A925,$D$2:$D$1501,D925)</f>
        <v/>
      </c>
    </row>
    <row r="926">
      <c r="A926" s="35" t="n">
        <v>185</v>
      </c>
      <c r="B926" s="41" t="n">
        <v>46484</v>
      </c>
      <c r="C926" s="35" t="n">
        <v>5</v>
      </c>
      <c r="D926" s="33" t="inlineStr">
        <is>
          <t>Distance of the Day</t>
        </is>
      </c>
      <c r="E926" s="36" t="inlineStr">
        <is>
          <t>How far is it in a straight line from Whitehorse to Kuala Lumpur?</t>
        </is>
      </c>
      <c r="F926" s="42" t="n">
        <v>11420</v>
      </c>
      <c r="G926" s="33" t="inlineStr">
        <is>
          <t>km</t>
        </is>
      </c>
      <c r="H926" s="35" t="inlineStr">
        <is>
          <t>Hard</t>
        </is>
      </c>
      <c r="I926" s="33" t="inlineStr">
        <is>
          <t>Computed great-circle distance (city centre to city centre)</t>
        </is>
      </c>
      <c r="J926" s="35" t="n"/>
      <c r="K926" s="33" t="n"/>
      <c r="L926" s="35">
        <f>COUNTIFS($A$2:$A$1501,A926,$D$2:$D$1501,D926)</f>
        <v/>
      </c>
    </row>
    <row r="927">
      <c r="A927" s="35" t="n">
        <v>186</v>
      </c>
      <c r="B927" s="41" t="n">
        <v>46485</v>
      </c>
      <c r="C927" s="35" t="n">
        <v>1</v>
      </c>
      <c r="D927" s="33" t="inlineStr">
        <is>
          <t>Space and Science</t>
        </is>
      </c>
      <c r="E927" s="36" t="inlineStr">
        <is>
          <t>How many hydrogen atoms are in one water molecule?</t>
        </is>
      </c>
      <c r="F927" s="42" t="n">
        <v>2</v>
      </c>
      <c r="G927" s="33" t="inlineStr">
        <is>
          <t>atoms</t>
        </is>
      </c>
      <c r="H927" s="35" t="inlineStr">
        <is>
          <t>Easy</t>
        </is>
      </c>
      <c r="I927" s="33" t="inlineStr">
        <is>
          <t>Britannica</t>
        </is>
      </c>
      <c r="J927" s="35" t="n"/>
      <c r="K927" s="33" t="inlineStr">
        <is>
          <t>Added Oct 2026. Spot check before this day goes live.</t>
        </is>
      </c>
      <c r="L927" s="35">
        <f>COUNTIFS($A$2:$A$1501,A927,$D$2:$D$1501,D927)</f>
        <v/>
      </c>
    </row>
    <row r="928">
      <c r="A928" s="35" t="n">
        <v>186</v>
      </c>
      <c r="B928" s="41" t="n">
        <v>46485</v>
      </c>
      <c r="C928" s="35" t="n">
        <v>2</v>
      </c>
      <c r="D928" s="33" t="inlineStr">
        <is>
          <t>Sports</t>
        </is>
      </c>
      <c r="E928" s="36" t="inlineStr">
        <is>
          <t>How fast did Usain Bolt run his 100 m world record?</t>
        </is>
      </c>
      <c r="F928" s="42" t="n">
        <v>9.58</v>
      </c>
      <c r="G928" s="33" t="inlineStr">
        <is>
          <t>seconds</t>
        </is>
      </c>
      <c r="H928" s="35" t="inlineStr">
        <is>
          <t>Medium</t>
        </is>
      </c>
      <c r="I928" s="33" t="inlineStr">
        <is>
          <t>World Athletics</t>
        </is>
      </c>
      <c r="J928" s="35" t="n"/>
      <c r="K928" s="33" t="inlineStr">
        <is>
          <t>Added Oct 2026. Spot check before this day goes live.</t>
        </is>
      </c>
      <c r="L928" s="35">
        <f>COUNTIFS($A$2:$A$1501,A928,$D$2:$D$1501,D928)</f>
        <v/>
      </c>
    </row>
    <row r="929">
      <c r="A929" s="35" t="n">
        <v>186</v>
      </c>
      <c r="B929" s="41" t="n">
        <v>46485</v>
      </c>
      <c r="C929" s="35" t="n">
        <v>3</v>
      </c>
      <c r="D929" s="33" t="inlineStr">
        <is>
          <t>Canada</t>
        </is>
      </c>
      <c r="E929" s="36" t="inlineStr">
        <is>
          <t>How many time zones does Canada have?</t>
        </is>
      </c>
      <c r="F929" s="42" t="n">
        <v>6</v>
      </c>
      <c r="G929" s="33" t="inlineStr">
        <is>
          <t>time zones</t>
        </is>
      </c>
      <c r="H929" s="35" t="inlineStr">
        <is>
          <t>Medium</t>
        </is>
      </c>
      <c r="I929" s="33" t="inlineStr">
        <is>
          <t>National Research Council Canada</t>
        </is>
      </c>
      <c r="J929" s="35" t="n"/>
      <c r="K929" s="33" t="inlineStr">
        <is>
          <t>Added Oct 2026. Spot check before this day goes live.</t>
        </is>
      </c>
      <c r="L929" s="35">
        <f>COUNTIFS($A$2:$A$1501,A929,$D$2:$D$1501,D929)</f>
        <v/>
      </c>
    </row>
    <row r="930">
      <c r="A930" s="35" t="n">
        <v>186</v>
      </c>
      <c r="B930" s="41" t="n">
        <v>46485</v>
      </c>
      <c r="C930" s="35" t="n">
        <v>4</v>
      </c>
      <c r="D930" s="33" t="inlineStr">
        <is>
          <t>Geography</t>
        </is>
      </c>
      <c r="E930" s="36" t="inlineStr">
        <is>
          <t>How big is Brazil?</t>
        </is>
      </c>
      <c r="F930" s="42" t="n">
        <v>8515767</v>
      </c>
      <c r="G930" s="33" t="inlineStr">
        <is>
          <t>km²</t>
        </is>
      </c>
      <c r="H930" s="35" t="inlineStr">
        <is>
          <t>Hard</t>
        </is>
      </c>
      <c r="I930" s="33" t="inlineStr">
        <is>
          <t>IBGE (Brazil)</t>
        </is>
      </c>
      <c r="J930" s="35" t="n"/>
      <c r="K930" s="33" t="inlineStr">
        <is>
          <t>Added Oct 2026. Spot check before this day goes live.</t>
        </is>
      </c>
      <c r="L930" s="35">
        <f>COUNTIFS($A$2:$A$1501,A930,$D$2:$D$1501,D930)</f>
        <v/>
      </c>
    </row>
    <row r="931">
      <c r="A931" s="35" t="n">
        <v>186</v>
      </c>
      <c r="B931" s="41" t="n">
        <v>46485</v>
      </c>
      <c r="C931" s="35" t="n">
        <v>5</v>
      </c>
      <c r="D931" s="33" t="inlineStr">
        <is>
          <t>Distance of the Day</t>
        </is>
      </c>
      <c r="E931" s="36" t="inlineStr">
        <is>
          <t>How far is it in a straight line from Toronto to Thunder Bay?</t>
        </is>
      </c>
      <c r="F931" s="42" t="n">
        <v>920</v>
      </c>
      <c r="G931" s="33" t="inlineStr">
        <is>
          <t>km</t>
        </is>
      </c>
      <c r="H931" s="35" t="inlineStr">
        <is>
          <t>Easy</t>
        </is>
      </c>
      <c r="I931" s="33" t="inlineStr">
        <is>
          <t>Computed great-circle distance (city centre to city centre)</t>
        </is>
      </c>
      <c r="J931" s="35" t="n"/>
      <c r="K931" s="33" t="n"/>
      <c r="L931" s="35">
        <f>COUNTIFS($A$2:$A$1501,A931,$D$2:$D$1501,D931)</f>
        <v/>
      </c>
    </row>
    <row r="932">
      <c r="A932" s="35" t="n">
        <v>187</v>
      </c>
      <c r="B932" s="41" t="n">
        <v>46486</v>
      </c>
      <c r="C932" s="35" t="n">
        <v>1</v>
      </c>
      <c r="D932" s="33" t="inlineStr">
        <is>
          <t>Human Body</t>
        </is>
      </c>
      <c r="E932" s="36" t="inlineStr">
        <is>
          <t>How many times does the heart beat in an average lifetime?</t>
        </is>
      </c>
      <c r="F932" s="42" t="n">
        <v>2.5</v>
      </c>
      <c r="G932" s="33" t="inlineStr">
        <is>
          <t>billion beats</t>
        </is>
      </c>
      <c r="H932" s="35" t="inlineStr">
        <is>
          <t>Medium</t>
        </is>
      </c>
      <c r="I932" s="33" t="inlineStr">
        <is>
          <t>American Heart Association</t>
        </is>
      </c>
      <c r="J932" s="35" t="n"/>
      <c r="K932" s="33" t="inlineStr">
        <is>
          <t>Added Oct 2026. Spot check before this day goes live.</t>
        </is>
      </c>
      <c r="L932" s="35">
        <f>COUNTIFS($A$2:$A$1501,A932,$D$2:$D$1501,D932)</f>
        <v/>
      </c>
    </row>
    <row r="933">
      <c r="A933" s="35" t="n">
        <v>187</v>
      </c>
      <c r="B933" s="41" t="n">
        <v>46486</v>
      </c>
      <c r="C933" s="35" t="n">
        <v>2</v>
      </c>
      <c r="D933" s="33" t="inlineStr">
        <is>
          <t>Buildings and Engineering</t>
        </is>
      </c>
      <c r="E933" s="36" t="inlineStr">
        <is>
          <t>How tall is Michelangelo's David?</t>
        </is>
      </c>
      <c r="F933" s="42" t="n">
        <v>5.17</v>
      </c>
      <c r="G933" s="33" t="inlineStr">
        <is>
          <t>metres</t>
        </is>
      </c>
      <c r="H933" s="35" t="inlineStr">
        <is>
          <t>Medium</t>
        </is>
      </c>
      <c r="I933" s="33" t="inlineStr">
        <is>
          <t>Galleria dell'Accademia</t>
        </is>
      </c>
      <c r="J933" s="35" t="n"/>
      <c r="K933" s="33" t="inlineStr">
        <is>
          <t>Added Oct 2026. Spot check before this day goes live.</t>
        </is>
      </c>
      <c r="L933" s="35">
        <f>COUNTIFS($A$2:$A$1501,A933,$D$2:$D$1501,D933)</f>
        <v/>
      </c>
    </row>
    <row r="934">
      <c r="A934" s="35" t="n">
        <v>187</v>
      </c>
      <c r="B934" s="41" t="n">
        <v>46486</v>
      </c>
      <c r="C934" s="35" t="n">
        <v>3</v>
      </c>
      <c r="D934" s="33" t="inlineStr">
        <is>
          <t>Animals and Nature</t>
        </is>
      </c>
      <c r="E934" s="36" t="inlineStr">
        <is>
          <t>How heavy is a newborn blue whale calf?</t>
        </is>
      </c>
      <c r="F934" s="42" t="n">
        <v>2700</v>
      </c>
      <c r="G934" s="33" t="inlineStr">
        <is>
          <t>kg</t>
        </is>
      </c>
      <c r="H934" s="35" t="inlineStr">
        <is>
          <t>Hard</t>
        </is>
      </c>
      <c r="I934" s="33" t="inlineStr">
        <is>
          <t>NOAA Fisheries</t>
        </is>
      </c>
      <c r="J934" s="35" t="n"/>
      <c r="K934" s="33" t="inlineStr">
        <is>
          <t>Added Oct 2026. Spot check before this day goes live.</t>
        </is>
      </c>
      <c r="L934" s="35">
        <f>COUNTIFS($A$2:$A$1501,A934,$D$2:$D$1501,D934)</f>
        <v/>
      </c>
    </row>
    <row r="935">
      <c r="A935" s="35" t="n">
        <v>187</v>
      </c>
      <c r="B935" s="41" t="n">
        <v>46486</v>
      </c>
      <c r="C935" s="35" t="n">
        <v>4</v>
      </c>
      <c r="D935" s="33" t="inlineStr">
        <is>
          <t>History</t>
        </is>
      </c>
      <c r="E935" s="36" t="inlineStr">
        <is>
          <t>How many years did apartheid last in South Africa?</t>
        </is>
      </c>
      <c r="F935" s="42" t="n">
        <v>46</v>
      </c>
      <c r="G935" s="33" t="inlineStr">
        <is>
          <t>years</t>
        </is>
      </c>
      <c r="H935" s="35" t="inlineStr">
        <is>
          <t>Hard</t>
        </is>
      </c>
      <c r="I935" s="33" t="inlineStr">
        <is>
          <t>South African History Online</t>
        </is>
      </c>
      <c r="J935" s="35" t="n"/>
      <c r="K935" s="33" t="inlineStr">
        <is>
          <t>Added Oct 2026. Spot check before this day goes live.</t>
        </is>
      </c>
      <c r="L935" s="35">
        <f>COUNTIFS($A$2:$A$1501,A935,$D$2:$D$1501,D935)</f>
        <v/>
      </c>
    </row>
    <row r="936">
      <c r="A936" s="35" t="n">
        <v>187</v>
      </c>
      <c r="B936" s="41" t="n">
        <v>46486</v>
      </c>
      <c r="C936" s="35" t="n">
        <v>5</v>
      </c>
      <c r="D936" s="33" t="inlineStr">
        <is>
          <t>Distance of the Day</t>
        </is>
      </c>
      <c r="E936" s="36" t="inlineStr">
        <is>
          <t>How far is it in a straight line from Iqaluit to Havana?</t>
        </is>
      </c>
      <c r="F936" s="42" t="n">
        <v>4630</v>
      </c>
      <c r="G936" s="33" t="inlineStr">
        <is>
          <t>km</t>
        </is>
      </c>
      <c r="H936" s="35" t="inlineStr">
        <is>
          <t>Medium</t>
        </is>
      </c>
      <c r="I936" s="33" t="inlineStr">
        <is>
          <t>Computed great-circle distance (city centre to city centre)</t>
        </is>
      </c>
      <c r="J936" s="35" t="n"/>
      <c r="K936" s="33" t="n"/>
      <c r="L936" s="35">
        <f>COUNTIFS($A$2:$A$1501,A936,$D$2:$D$1501,D936)</f>
        <v/>
      </c>
    </row>
    <row r="937">
      <c r="A937" s="35" t="n">
        <v>188</v>
      </c>
      <c r="B937" s="41" t="n">
        <v>46487</v>
      </c>
      <c r="C937" s="35" t="n">
        <v>1</v>
      </c>
      <c r="D937" s="33" t="inlineStr">
        <is>
          <t>Movies, Music and Games</t>
        </is>
      </c>
      <c r="E937" s="36" t="inlineStr">
        <is>
          <t>How many cards are in a standard deck, not counting jokers?</t>
        </is>
      </c>
      <c r="F937" s="42" t="n">
        <v>52</v>
      </c>
      <c r="G937" s="33" t="inlineStr">
        <is>
          <t>cards</t>
        </is>
      </c>
      <c r="H937" s="35" t="inlineStr">
        <is>
          <t>Easy</t>
        </is>
      </c>
      <c r="I937" s="33" t="inlineStr">
        <is>
          <t>Bicycle Cards</t>
        </is>
      </c>
      <c r="J937" s="35" t="n"/>
      <c r="K937" s="33" t="inlineStr">
        <is>
          <t>Added Oct 2026. Spot check before this day goes live.</t>
        </is>
      </c>
      <c r="L937" s="35">
        <f>COUNTIFS($A$2:$A$1501,A937,$D$2:$D$1501,D937)</f>
        <v/>
      </c>
    </row>
    <row r="938">
      <c r="A938" s="35" t="n">
        <v>188</v>
      </c>
      <c r="B938" s="41" t="n">
        <v>46487</v>
      </c>
      <c r="C938" s="35" t="n">
        <v>2</v>
      </c>
      <c r="D938" s="33" t="inlineStr">
        <is>
          <t>Sports</t>
        </is>
      </c>
      <c r="E938" s="36" t="inlineStr">
        <is>
          <t>How heavy is the men's Olympic shot put?</t>
        </is>
      </c>
      <c r="F938" s="42" t="n">
        <v>7.26</v>
      </c>
      <c r="G938" s="33" t="inlineStr">
        <is>
          <t>kg</t>
        </is>
      </c>
      <c r="H938" s="35" t="inlineStr">
        <is>
          <t>Medium</t>
        </is>
      </c>
      <c r="I938" s="33" t="inlineStr">
        <is>
          <t>World Athletics</t>
        </is>
      </c>
      <c r="J938" s="35" t="n"/>
      <c r="K938" s="33" t="inlineStr">
        <is>
          <t>Added Oct 2026. Spot check before this day goes live.</t>
        </is>
      </c>
      <c r="L938" s="35">
        <f>COUNTIFS($A$2:$A$1501,A938,$D$2:$D$1501,D938)</f>
        <v/>
      </c>
    </row>
    <row r="939">
      <c r="A939" s="35" t="n">
        <v>188</v>
      </c>
      <c r="B939" s="41" t="n">
        <v>46487</v>
      </c>
      <c r="C939" s="35" t="n">
        <v>3</v>
      </c>
      <c r="D939" s="33" t="inlineStr">
        <is>
          <t>Space and Science</t>
        </is>
      </c>
      <c r="E939" s="36" t="inlineStr">
        <is>
          <t>How hot is lava when it erupts, at the hottest?</t>
        </is>
      </c>
      <c r="F939" s="42" t="n">
        <v>1200</v>
      </c>
      <c r="G939" s="33" t="inlineStr">
        <is>
          <t>°C</t>
        </is>
      </c>
      <c r="H939" s="35" t="inlineStr">
        <is>
          <t>Medium</t>
        </is>
      </c>
      <c r="I939" s="33" t="inlineStr">
        <is>
          <t>USGS</t>
        </is>
      </c>
      <c r="J939" s="35" t="n"/>
      <c r="K939" s="33" t="inlineStr">
        <is>
          <t>Added Oct 2026. Spot check before this day goes live.</t>
        </is>
      </c>
      <c r="L939" s="35">
        <f>COUNTIFS($A$2:$A$1501,A939,$D$2:$D$1501,D939)</f>
        <v/>
      </c>
    </row>
    <row r="940">
      <c r="A940" s="35" t="n">
        <v>188</v>
      </c>
      <c r="B940" s="41" t="n">
        <v>46487</v>
      </c>
      <c r="C940" s="35" t="n">
        <v>4</v>
      </c>
      <c r="D940" s="33" t="inlineStr">
        <is>
          <t>Food and Everyday Life</t>
        </is>
      </c>
      <c r="E940" s="36" t="inlineStr">
        <is>
          <t>How many grams of fibre are in a medium pear?</t>
        </is>
      </c>
      <c r="F940" s="42" t="n">
        <v>5.5</v>
      </c>
      <c r="G940" s="33" t="inlineStr">
        <is>
          <t>grams</t>
        </is>
      </c>
      <c r="H940" s="35" t="inlineStr">
        <is>
          <t>Hard</t>
        </is>
      </c>
      <c r="I940" s="33" t="inlineStr">
        <is>
          <t>USDA FoodData Central</t>
        </is>
      </c>
      <c r="J940" s="35" t="n"/>
      <c r="K940" s="33" t="inlineStr">
        <is>
          <t>Added Oct 2026. Spot check before this day goes live.</t>
        </is>
      </c>
      <c r="L940" s="35">
        <f>COUNTIFS($A$2:$A$1501,A940,$D$2:$D$1501,D940)</f>
        <v/>
      </c>
    </row>
    <row r="941">
      <c r="A941" s="35" t="n">
        <v>188</v>
      </c>
      <c r="B941" s="41" t="n">
        <v>46487</v>
      </c>
      <c r="C941" s="35" t="n">
        <v>5</v>
      </c>
      <c r="D941" s="33" t="inlineStr">
        <is>
          <t>Distance of the Day</t>
        </is>
      </c>
      <c r="E941" s="36" t="inlineStr">
        <is>
          <t>How far is it in a straight line from Hamilton to Tokyo?</t>
        </is>
      </c>
      <c r="F941" s="42" t="n">
        <v>10370</v>
      </c>
      <c r="G941" s="33" t="inlineStr">
        <is>
          <t>km</t>
        </is>
      </c>
      <c r="H941" s="35" t="inlineStr">
        <is>
          <t>Hard</t>
        </is>
      </c>
      <c r="I941" s="33" t="inlineStr">
        <is>
          <t>Computed great-circle distance (city centre to city centre)</t>
        </is>
      </c>
      <c r="J941" s="35" t="n"/>
      <c r="K941" s="33" t="n"/>
      <c r="L941" s="35">
        <f>COUNTIFS($A$2:$A$1501,A941,$D$2:$D$1501,D941)</f>
        <v/>
      </c>
    </row>
    <row r="942">
      <c r="A942" s="35" t="n">
        <v>189</v>
      </c>
      <c r="B942" s="41" t="n">
        <v>46488</v>
      </c>
      <c r="C942" s="35" t="n">
        <v>1</v>
      </c>
      <c r="D942" s="33" t="inlineStr">
        <is>
          <t>Geography</t>
        </is>
      </c>
      <c r="E942" s="36" t="inlineStr">
        <is>
          <t>How many official languages does Switzerland have?</t>
        </is>
      </c>
      <c r="F942" s="42" t="n">
        <v>4</v>
      </c>
      <c r="G942" s="33" t="inlineStr">
        <is>
          <t>languages</t>
        </is>
      </c>
      <c r="H942" s="35" t="inlineStr">
        <is>
          <t>Easy</t>
        </is>
      </c>
      <c r="I942" s="33" t="inlineStr">
        <is>
          <t>Swiss federal government</t>
        </is>
      </c>
      <c r="J942" s="35" t="n"/>
      <c r="K942" s="33" t="inlineStr">
        <is>
          <t>Added Oct 2026. Spot check before this day goes live.</t>
        </is>
      </c>
      <c r="L942" s="35">
        <f>COUNTIFS($A$2:$A$1501,A942,$D$2:$D$1501,D942)</f>
        <v/>
      </c>
    </row>
    <row r="943">
      <c r="A943" s="35" t="n">
        <v>189</v>
      </c>
      <c r="B943" s="41" t="n">
        <v>46488</v>
      </c>
      <c r="C943" s="35" t="n">
        <v>2</v>
      </c>
      <c r="D943" s="33" t="inlineStr">
        <is>
          <t>Canada</t>
        </is>
      </c>
      <c r="E943" s="36" t="inlineStr">
        <is>
          <t>What percentage of the world's fresh water does Canada hold?</t>
        </is>
      </c>
      <c r="F943" s="42" t="n">
        <v>20</v>
      </c>
      <c r="G943" s="33" t="inlineStr">
        <is>
          <t>%</t>
        </is>
      </c>
      <c r="H943" s="35" t="inlineStr">
        <is>
          <t>Medium</t>
        </is>
      </c>
      <c r="I943" s="33" t="inlineStr">
        <is>
          <t>Environment and Climate Change Canada</t>
        </is>
      </c>
      <c r="J943" s="35" t="n"/>
      <c r="K943" s="33" t="inlineStr">
        <is>
          <t>Added Oct 2026. Spot check before this day goes live.</t>
        </is>
      </c>
      <c r="L943" s="35">
        <f>COUNTIFS($A$2:$A$1501,A943,$D$2:$D$1501,D943)</f>
        <v/>
      </c>
    </row>
    <row r="944">
      <c r="A944" s="35" t="n">
        <v>189</v>
      </c>
      <c r="B944" s="41" t="n">
        <v>46488</v>
      </c>
      <c r="C944" s="35" t="n">
        <v>3</v>
      </c>
      <c r="D944" s="33" t="inlineStr">
        <is>
          <t>Human Body</t>
        </is>
      </c>
      <c r="E944" s="36" t="inlineStr">
        <is>
          <t>How much surface area do your lungs have inside?</t>
        </is>
      </c>
      <c r="F944" s="42" t="n">
        <v>70</v>
      </c>
      <c r="G944" s="33" t="inlineStr">
        <is>
          <t>m²</t>
        </is>
      </c>
      <c r="H944" s="35" t="inlineStr">
        <is>
          <t>Hard</t>
        </is>
      </c>
      <c r="I944" s="33" t="inlineStr">
        <is>
          <t>Britannica</t>
        </is>
      </c>
      <c r="J944" s="35" t="n"/>
      <c r="K944" s="33" t="inlineStr">
        <is>
          <t>Added Oct 2026. Spot check before this day goes live.</t>
        </is>
      </c>
      <c r="L944" s="35">
        <f>COUNTIFS($A$2:$A$1501,A944,$D$2:$D$1501,D944)</f>
        <v/>
      </c>
    </row>
    <row r="945">
      <c r="A945" s="35" t="n">
        <v>189</v>
      </c>
      <c r="B945" s="41" t="n">
        <v>46488</v>
      </c>
      <c r="C945" s="35" t="n">
        <v>4</v>
      </c>
      <c r="D945" s="33" t="inlineStr">
        <is>
          <t>History</t>
        </is>
      </c>
      <c r="E945" s="36" t="inlineStr">
        <is>
          <t>How long was the Western Front in World War I?</t>
        </is>
      </c>
      <c r="F945" s="42" t="n">
        <v>700</v>
      </c>
      <c r="G945" s="33" t="inlineStr">
        <is>
          <t>km</t>
        </is>
      </c>
      <c r="H945" s="35" t="inlineStr">
        <is>
          <t>Hard</t>
        </is>
      </c>
      <c r="I945" s="33" t="inlineStr">
        <is>
          <t>Imperial War Museums</t>
        </is>
      </c>
      <c r="J945" s="35" t="n"/>
      <c r="K945" s="33" t="inlineStr">
        <is>
          <t>Added Oct 2026. Spot check before this day goes live.</t>
        </is>
      </c>
      <c r="L945" s="35">
        <f>COUNTIFS($A$2:$A$1501,A945,$D$2:$D$1501,D945)</f>
        <v/>
      </c>
    </row>
    <row r="946">
      <c r="A946" s="35" t="n">
        <v>189</v>
      </c>
      <c r="B946" s="41" t="n">
        <v>46488</v>
      </c>
      <c r="C946" s="35" t="n">
        <v>5</v>
      </c>
      <c r="D946" s="33" t="inlineStr">
        <is>
          <t>Distance of the Day</t>
        </is>
      </c>
      <c r="E946" s="36" t="inlineStr">
        <is>
          <t>How far is it in a straight line from Berlin to Amsterdam?</t>
        </is>
      </c>
      <c r="F946" s="42" t="n">
        <v>580</v>
      </c>
      <c r="G946" s="33" t="inlineStr">
        <is>
          <t>km</t>
        </is>
      </c>
      <c r="H946" s="35" t="inlineStr">
        <is>
          <t>Easy</t>
        </is>
      </c>
      <c r="I946" s="33" t="inlineStr">
        <is>
          <t>Computed great-circle distance (city centre to city centre)</t>
        </is>
      </c>
      <c r="J946" s="35" t="n"/>
      <c r="K946" s="33" t="n"/>
      <c r="L946" s="35">
        <f>COUNTIFS($A$2:$A$1501,A946,$D$2:$D$1501,D946)</f>
        <v/>
      </c>
    </row>
    <row r="947">
      <c r="A947" s="35" t="n">
        <v>190</v>
      </c>
      <c r="B947" s="41" t="n">
        <v>46489</v>
      </c>
      <c r="C947" s="35" t="n">
        <v>1</v>
      </c>
      <c r="D947" s="33" t="inlineStr">
        <is>
          <t>Space and Science</t>
        </is>
      </c>
      <c r="E947" s="36" t="inlineStr">
        <is>
          <t>How many moons does Mars have?</t>
        </is>
      </c>
      <c r="F947" s="42" t="n">
        <v>2</v>
      </c>
      <c r="G947" s="33" t="inlineStr">
        <is>
          <t>moons</t>
        </is>
      </c>
      <c r="H947" s="35" t="inlineStr">
        <is>
          <t>Easy</t>
        </is>
      </c>
      <c r="I947" s="33" t="inlineStr">
        <is>
          <t>NASA</t>
        </is>
      </c>
      <c r="J947" s="35" t="n"/>
      <c r="K947" s="33" t="inlineStr">
        <is>
          <t>Added Oct 2026. Spot check before this day goes live.</t>
        </is>
      </c>
      <c r="L947" s="35">
        <f>COUNTIFS($A$2:$A$1501,A947,$D$2:$D$1501,D947)</f>
        <v/>
      </c>
    </row>
    <row r="948">
      <c r="A948" s="35" t="n">
        <v>190</v>
      </c>
      <c r="B948" s="41" t="n">
        <v>46489</v>
      </c>
      <c r="C948" s="35" t="n">
        <v>2</v>
      </c>
      <c r="D948" s="33" t="inlineStr">
        <is>
          <t>Sports</t>
        </is>
      </c>
      <c r="E948" s="36" t="inlineStr">
        <is>
          <t>How many games did pitcher Cy Young win in his career, the MLB record?</t>
        </is>
      </c>
      <c r="F948" s="42" t="n">
        <v>511</v>
      </c>
      <c r="G948" s="33" t="inlineStr">
        <is>
          <t>wins</t>
        </is>
      </c>
      <c r="H948" s="35" t="inlineStr">
        <is>
          <t>Medium</t>
        </is>
      </c>
      <c r="I948" s="33" t="inlineStr">
        <is>
          <t>MLB.com</t>
        </is>
      </c>
      <c r="J948" s="35" t="n"/>
      <c r="K948" s="33" t="inlineStr">
        <is>
          <t>Added Oct 2026. Spot check before this day goes live.</t>
        </is>
      </c>
      <c r="L948" s="35">
        <f>COUNTIFS($A$2:$A$1501,A948,$D$2:$D$1501,D948)</f>
        <v/>
      </c>
    </row>
    <row r="949">
      <c r="A949" s="35" t="n">
        <v>190</v>
      </c>
      <c r="B949" s="41" t="n">
        <v>46489</v>
      </c>
      <c r="C949" s="35" t="n">
        <v>3</v>
      </c>
      <c r="D949" s="33" t="inlineStr">
        <is>
          <t>Buildings and Engineering</t>
        </is>
      </c>
      <c r="E949" s="36" t="inlineStr">
        <is>
          <t>How long is Hadrian's Wall?</t>
        </is>
      </c>
      <c r="F949" s="42" t="n">
        <v>117</v>
      </c>
      <c r="G949" s="33" t="inlineStr">
        <is>
          <t>km</t>
        </is>
      </c>
      <c r="H949" s="35" t="inlineStr">
        <is>
          <t>Medium</t>
        </is>
      </c>
      <c r="I949" s="33" t="inlineStr">
        <is>
          <t>English Heritage</t>
        </is>
      </c>
      <c r="J949" s="35" t="n"/>
      <c r="K949" s="33" t="inlineStr">
        <is>
          <t>Added Oct 2026. Spot check before this day goes live.</t>
        </is>
      </c>
      <c r="L949" s="35">
        <f>COUNTIFS($A$2:$A$1501,A949,$D$2:$D$1501,D949)</f>
        <v/>
      </c>
    </row>
    <row r="950">
      <c r="A950" s="35" t="n">
        <v>190</v>
      </c>
      <c r="B950" s="41" t="n">
        <v>46489</v>
      </c>
      <c r="C950" s="35" t="n">
        <v>4</v>
      </c>
      <c r="D950" s="33" t="inlineStr">
        <is>
          <t>Food and Everyday Life</t>
        </is>
      </c>
      <c r="E950" s="36" t="inlineStr">
        <is>
          <t>How many millilitres are in a standard shot glass in Canada?</t>
        </is>
      </c>
      <c r="F950" s="42" t="n">
        <v>43</v>
      </c>
      <c r="G950" s="33" t="inlineStr">
        <is>
          <t>mL</t>
        </is>
      </c>
      <c r="H950" s="35" t="inlineStr">
        <is>
          <t>Hard</t>
        </is>
      </c>
      <c r="I950" s="33" t="inlineStr">
        <is>
          <t>Canadian liquor boards</t>
        </is>
      </c>
      <c r="J950" s="35" t="n"/>
      <c r="K950" s="33" t="inlineStr">
        <is>
          <t>Added Oct 2026. Spot check before this day goes live.</t>
        </is>
      </c>
      <c r="L950" s="35">
        <f>COUNTIFS($A$2:$A$1501,A950,$D$2:$D$1501,D950)</f>
        <v/>
      </c>
    </row>
    <row r="951">
      <c r="A951" s="35" t="n">
        <v>190</v>
      </c>
      <c r="B951" s="41" t="n">
        <v>46489</v>
      </c>
      <c r="C951" s="35" t="n">
        <v>5</v>
      </c>
      <c r="D951" s="33" t="inlineStr">
        <is>
          <t>Distance of the Day</t>
        </is>
      </c>
      <c r="E951" s="36" t="inlineStr">
        <is>
          <t>How far is it in a straight line from Thunder Bay to Stockholm?</t>
        </is>
      </c>
      <c r="F951" s="42" t="n">
        <v>6360</v>
      </c>
      <c r="G951" s="33" t="inlineStr">
        <is>
          <t>km</t>
        </is>
      </c>
      <c r="H951" s="35" t="inlineStr">
        <is>
          <t>Medium</t>
        </is>
      </c>
      <c r="I951" s="33" t="inlineStr">
        <is>
          <t>Computed great-circle distance (city centre to city centre)</t>
        </is>
      </c>
      <c r="J951" s="35" t="n"/>
      <c r="K951" s="33" t="n"/>
      <c r="L951" s="35">
        <f>COUNTIFS($A$2:$A$1501,A951,$D$2:$D$1501,D951)</f>
        <v/>
      </c>
    </row>
    <row r="952">
      <c r="A952" s="35" t="n">
        <v>191</v>
      </c>
      <c r="B952" s="41" t="n">
        <v>46490</v>
      </c>
      <c r="C952" s="35" t="n">
        <v>1</v>
      </c>
      <c r="D952" s="33" t="inlineStr">
        <is>
          <t>Geography</t>
        </is>
      </c>
      <c r="E952" s="36" t="inlineStr">
        <is>
          <t>How tall is Mount Rainier?</t>
        </is>
      </c>
      <c r="F952" s="42" t="n">
        <v>4392</v>
      </c>
      <c r="G952" s="33" t="inlineStr">
        <is>
          <t>metres</t>
        </is>
      </c>
      <c r="H952" s="35" t="inlineStr">
        <is>
          <t>Medium</t>
        </is>
      </c>
      <c r="I952" s="33" t="inlineStr">
        <is>
          <t>US National Park Service</t>
        </is>
      </c>
      <c r="J952" s="35" t="n"/>
      <c r="K952" s="33" t="inlineStr">
        <is>
          <t>Added Oct 2026. Spot check before this day goes live.</t>
        </is>
      </c>
      <c r="L952" s="35">
        <f>COUNTIFS($A$2:$A$1501,A952,$D$2:$D$1501,D952)</f>
        <v/>
      </c>
    </row>
    <row r="953">
      <c r="A953" s="35" t="n">
        <v>191</v>
      </c>
      <c r="B953" s="41" t="n">
        <v>46490</v>
      </c>
      <c r="C953" s="35" t="n">
        <v>2</v>
      </c>
      <c r="D953" s="33" t="inlineStr">
        <is>
          <t>Canada</t>
        </is>
      </c>
      <c r="E953" s="36" t="inlineStr">
        <is>
          <t>How high up is the CN Tower's EdgeWalk?</t>
        </is>
      </c>
      <c r="F953" s="42" t="n">
        <v>356</v>
      </c>
      <c r="G953" s="33" t="inlineStr">
        <is>
          <t>metres</t>
        </is>
      </c>
      <c r="H953" s="35" t="inlineStr">
        <is>
          <t>Medium</t>
        </is>
      </c>
      <c r="I953" s="33" t="inlineStr">
        <is>
          <t>CN Tower</t>
        </is>
      </c>
      <c r="J953" s="35" t="n"/>
      <c r="K953" s="33" t="inlineStr">
        <is>
          <t>Added Oct 2026. Spot check before this day goes live.</t>
        </is>
      </c>
      <c r="L953" s="35">
        <f>COUNTIFS($A$2:$A$1501,A953,$D$2:$D$1501,D953)</f>
        <v/>
      </c>
    </row>
    <row r="954">
      <c r="A954" s="35" t="n">
        <v>191</v>
      </c>
      <c r="B954" s="41" t="n">
        <v>46490</v>
      </c>
      <c r="C954" s="35" t="n">
        <v>3</v>
      </c>
      <c r="D954" s="33" t="inlineStr">
        <is>
          <t>Animals and Nature</t>
        </is>
      </c>
      <c r="E954" s="36" t="inlineStr">
        <is>
          <t>How many species of ants have been described?</t>
        </is>
      </c>
      <c r="F954" s="42" t="n">
        <v>14000</v>
      </c>
      <c r="G954" s="33" t="inlineStr">
        <is>
          <t>species</t>
        </is>
      </c>
      <c r="H954" s="35" t="inlineStr">
        <is>
          <t>Hard</t>
        </is>
      </c>
      <c r="I954" s="33" t="inlineStr">
        <is>
          <t>AntWeb</t>
        </is>
      </c>
      <c r="J954" s="35" t="n"/>
      <c r="K954" s="33" t="inlineStr">
        <is>
          <t>Added Oct 2026. Spot check before this day goes live.</t>
        </is>
      </c>
      <c r="L954" s="35">
        <f>COUNTIFS($A$2:$A$1501,A954,$D$2:$D$1501,D954)</f>
        <v/>
      </c>
    </row>
    <row r="955">
      <c r="A955" s="35" t="n">
        <v>191</v>
      </c>
      <c r="B955" s="41" t="n">
        <v>46490</v>
      </c>
      <c r="C955" s="35" t="n">
        <v>4</v>
      </c>
      <c r="D955" s="33" t="inlineStr">
        <is>
          <t>Movies, Music and Games</t>
        </is>
      </c>
      <c r="E955" s="36" t="inlineStr">
        <is>
          <t>How long is Schindler's List?</t>
        </is>
      </c>
      <c r="F955" s="42" t="n">
        <v>195</v>
      </c>
      <c r="G955" s="33" t="inlineStr">
        <is>
          <t>minutes</t>
        </is>
      </c>
      <c r="H955" s="35" t="inlineStr">
        <is>
          <t>Hard</t>
        </is>
      </c>
      <c r="I955" s="33" t="inlineStr">
        <is>
          <t>IMDb</t>
        </is>
      </c>
      <c r="J955" s="35" t="n"/>
      <c r="K955" s="33" t="inlineStr">
        <is>
          <t>Added Oct 2026. Spot check before this day goes live.</t>
        </is>
      </c>
      <c r="L955" s="35">
        <f>COUNTIFS($A$2:$A$1501,A955,$D$2:$D$1501,D955)</f>
        <v/>
      </c>
    </row>
    <row r="956">
      <c r="A956" s="35" t="n">
        <v>191</v>
      </c>
      <c r="B956" s="41" t="n">
        <v>46490</v>
      </c>
      <c r="C956" s="35" t="n">
        <v>5</v>
      </c>
      <c r="D956" s="33" t="inlineStr">
        <is>
          <t>Distance of the Day</t>
        </is>
      </c>
      <c r="E956" s="36" t="inlineStr">
        <is>
          <t>How far is it in a straight line from Saskatoon to Athens?</t>
        </is>
      </c>
      <c r="F956" s="42" t="n">
        <v>8900</v>
      </c>
      <c r="G956" s="33" t="inlineStr">
        <is>
          <t>km</t>
        </is>
      </c>
      <c r="H956" s="35" t="inlineStr">
        <is>
          <t>Hard</t>
        </is>
      </c>
      <c r="I956" s="33" t="inlineStr">
        <is>
          <t>Computed great-circle distance (city centre to city centre)</t>
        </is>
      </c>
      <c r="J956" s="35" t="n"/>
      <c r="K956" s="33" t="n"/>
      <c r="L956" s="35">
        <f>COUNTIFS($A$2:$A$1501,A956,$D$2:$D$1501,D956)</f>
        <v/>
      </c>
    </row>
    <row r="957">
      <c r="A957" s="35" t="n">
        <v>192</v>
      </c>
      <c r="B957" s="41" t="n">
        <v>46491</v>
      </c>
      <c r="C957" s="35" t="n">
        <v>1</v>
      </c>
      <c r="D957" s="33" t="inlineStr">
        <is>
          <t>Human Body</t>
        </is>
      </c>
      <c r="E957" s="36" t="inlineStr">
        <is>
          <t>What is normal human body temperature in Fahrenheit?</t>
        </is>
      </c>
      <c r="F957" s="42" t="n">
        <v>98.59999999999999</v>
      </c>
      <c r="G957" s="33" t="inlineStr">
        <is>
          <t>°F</t>
        </is>
      </c>
      <c r="H957" s="35" t="inlineStr">
        <is>
          <t>Easy</t>
        </is>
      </c>
      <c r="I957" s="33" t="inlineStr">
        <is>
          <t>Mayo Clinic</t>
        </is>
      </c>
      <c r="J957" s="35" t="n"/>
      <c r="K957" s="33" t="inlineStr">
        <is>
          <t>Added Oct 2026. Spot check before this day goes live.</t>
        </is>
      </c>
      <c r="L957" s="35">
        <f>COUNTIFS($A$2:$A$1501,A957,$D$2:$D$1501,D957)</f>
        <v/>
      </c>
    </row>
    <row r="958">
      <c r="A958" s="35" t="n">
        <v>192</v>
      </c>
      <c r="B958" s="41" t="n">
        <v>46491</v>
      </c>
      <c r="C958" s="35" t="n">
        <v>2</v>
      </c>
      <c r="D958" s="33" t="inlineStr">
        <is>
          <t>Sports</t>
        </is>
      </c>
      <c r="E958" s="36" t="inlineStr">
        <is>
          <t>How many stitches are on an official baseball?</t>
        </is>
      </c>
      <c r="F958" s="42" t="n">
        <v>108</v>
      </c>
      <c r="G958" s="33" t="inlineStr">
        <is>
          <t>stitches</t>
        </is>
      </c>
      <c r="H958" s="35" t="inlineStr">
        <is>
          <t>Medium</t>
        </is>
      </c>
      <c r="I958" s="33" t="inlineStr">
        <is>
          <t>MLB / Rawlings</t>
        </is>
      </c>
      <c r="J958" s="35" t="n"/>
      <c r="K958" s="33" t="inlineStr">
        <is>
          <t>Added Oct 2026. Spot check before this day goes live.</t>
        </is>
      </c>
      <c r="L958" s="35">
        <f>COUNTIFS($A$2:$A$1501,A958,$D$2:$D$1501,D958)</f>
        <v/>
      </c>
    </row>
    <row r="959">
      <c r="A959" s="35" t="n">
        <v>192</v>
      </c>
      <c r="B959" s="41" t="n">
        <v>46491</v>
      </c>
      <c r="C959" s="35" t="n">
        <v>3</v>
      </c>
      <c r="D959" s="33" t="inlineStr">
        <is>
          <t>Space and Science</t>
        </is>
      </c>
      <c r="E959" s="36" t="inlineStr">
        <is>
          <t>At what temperature does gold melt?</t>
        </is>
      </c>
      <c r="F959" s="42" t="n">
        <v>1064</v>
      </c>
      <c r="G959" s="33" t="inlineStr">
        <is>
          <t>°C</t>
        </is>
      </c>
      <c r="H959" s="35" t="inlineStr">
        <is>
          <t>Hard</t>
        </is>
      </c>
      <c r="I959" s="33" t="inlineStr">
        <is>
          <t>NIST</t>
        </is>
      </c>
      <c r="J959" s="35" t="n"/>
      <c r="K959" s="33" t="inlineStr">
        <is>
          <t>Added Oct 2026. Spot check before this day goes live.</t>
        </is>
      </c>
      <c r="L959" s="35">
        <f>COUNTIFS($A$2:$A$1501,A959,$D$2:$D$1501,D959)</f>
        <v/>
      </c>
    </row>
    <row r="960">
      <c r="A960" s="35" t="n">
        <v>192</v>
      </c>
      <c r="B960" s="41" t="n">
        <v>46491</v>
      </c>
      <c r="C960" s="35" t="n">
        <v>4</v>
      </c>
      <c r="D960" s="33" t="inlineStr">
        <is>
          <t>Buildings and Engineering</t>
        </is>
      </c>
      <c r="E960" s="36" t="inlineStr">
        <is>
          <t>How long is the Kiel Canal in Germany?</t>
        </is>
      </c>
      <c r="F960" s="42" t="n">
        <v>98</v>
      </c>
      <c r="G960" s="33" t="inlineStr">
        <is>
          <t>km</t>
        </is>
      </c>
      <c r="H960" s="35" t="inlineStr">
        <is>
          <t>Hard</t>
        </is>
      </c>
      <c r="I960" s="33" t="inlineStr">
        <is>
          <t>German Federal Waterways</t>
        </is>
      </c>
      <c r="J960" s="35" t="n"/>
      <c r="K960" s="33" t="inlineStr">
        <is>
          <t>Added Oct 2026. Spot check before this day goes live.</t>
        </is>
      </c>
      <c r="L960" s="35">
        <f>COUNTIFS($A$2:$A$1501,A960,$D$2:$D$1501,D960)</f>
        <v/>
      </c>
    </row>
    <row r="961">
      <c r="A961" s="35" t="n">
        <v>192</v>
      </c>
      <c r="B961" s="41" t="n">
        <v>46491</v>
      </c>
      <c r="C961" s="35" t="n">
        <v>5</v>
      </c>
      <c r="D961" s="33" t="inlineStr">
        <is>
          <t>Distance of the Day</t>
        </is>
      </c>
      <c r="E961" s="36" t="inlineStr">
        <is>
          <t>How far is it in a straight line from Charlottetown to Yellowknife?</t>
        </is>
      </c>
      <c r="F961" s="42" t="n">
        <v>3650</v>
      </c>
      <c r="G961" s="33" t="inlineStr">
        <is>
          <t>km</t>
        </is>
      </c>
      <c r="H961" s="35" t="inlineStr">
        <is>
          <t>Medium</t>
        </is>
      </c>
      <c r="I961" s="33" t="inlineStr">
        <is>
          <t>Computed great-circle distance (city centre to city centre)</t>
        </is>
      </c>
      <c r="J961" s="35" t="n"/>
      <c r="K961" s="33" t="n"/>
      <c r="L961" s="35">
        <f>COUNTIFS($A$2:$A$1501,A961,$D$2:$D$1501,D961)</f>
        <v/>
      </c>
    </row>
    <row r="962">
      <c r="A962" s="35" t="n">
        <v>193</v>
      </c>
      <c r="B962" s="41" t="n">
        <v>46492</v>
      </c>
      <c r="C962" s="35" t="n">
        <v>1</v>
      </c>
      <c r="D962" s="33" t="inlineStr">
        <is>
          <t>Movies, Music and Games</t>
        </is>
      </c>
      <c r="E962" s="36" t="inlineStr">
        <is>
          <t>How many ghosts chase Pac-Man in the original arcade game?</t>
        </is>
      </c>
      <c r="F962" s="42" t="n">
        <v>4</v>
      </c>
      <c r="G962" s="33" t="inlineStr">
        <is>
          <t>ghosts</t>
        </is>
      </c>
      <c r="H962" s="35" t="inlineStr">
        <is>
          <t>Easy</t>
        </is>
      </c>
      <c r="I962" s="33" t="inlineStr">
        <is>
          <t>Bandai Namco</t>
        </is>
      </c>
      <c r="J962" s="35" t="n"/>
      <c r="K962" s="33" t="inlineStr">
        <is>
          <t>Added Oct 2026. Spot check before this day goes live.</t>
        </is>
      </c>
      <c r="L962" s="35">
        <f>COUNTIFS($A$2:$A$1501,A962,$D$2:$D$1501,D962)</f>
        <v/>
      </c>
    </row>
    <row r="963">
      <c r="A963" s="35" t="n">
        <v>193</v>
      </c>
      <c r="B963" s="41" t="n">
        <v>46492</v>
      </c>
      <c r="C963" s="35" t="n">
        <v>2</v>
      </c>
      <c r="D963" s="33" t="inlineStr">
        <is>
          <t>Geography</t>
        </is>
      </c>
      <c r="E963" s="36" t="inlineStr">
        <is>
          <t>How tall is Kangchenjunga, the world's third highest mountain?</t>
        </is>
      </c>
      <c r="F963" s="42" t="n">
        <v>8586</v>
      </c>
      <c r="G963" s="33" t="inlineStr">
        <is>
          <t>metres</t>
        </is>
      </c>
      <c r="H963" s="35" t="inlineStr">
        <is>
          <t>Medium</t>
        </is>
      </c>
      <c r="I963" s="33" t="inlineStr">
        <is>
          <t>Britannica</t>
        </is>
      </c>
      <c r="J963" s="35" t="n"/>
      <c r="K963" s="33" t="inlineStr">
        <is>
          <t>Added Oct 2026. Spot check before this day goes live.</t>
        </is>
      </c>
      <c r="L963" s="35">
        <f>COUNTIFS($A$2:$A$1501,A963,$D$2:$D$1501,D963)</f>
        <v/>
      </c>
    </row>
    <row r="964">
      <c r="A964" s="35" t="n">
        <v>193</v>
      </c>
      <c r="B964" s="41" t="n">
        <v>46492</v>
      </c>
      <c r="C964" s="35" t="n">
        <v>3</v>
      </c>
      <c r="D964" s="33" t="inlineStr">
        <is>
          <t>Canada</t>
        </is>
      </c>
      <c r="E964" s="36" t="inlineStr">
        <is>
          <t>How many seats are in the House of Commons?</t>
        </is>
      </c>
      <c r="F964" s="42" t="n">
        <v>343</v>
      </c>
      <c r="G964" s="33" t="inlineStr">
        <is>
          <t>seats</t>
        </is>
      </c>
      <c r="H964" s="35" t="inlineStr">
        <is>
          <t>Medium</t>
        </is>
      </c>
      <c r="I964" s="33" t="inlineStr">
        <is>
          <t>Elections Canada</t>
        </is>
      </c>
      <c r="J964" s="35" t="n"/>
      <c r="K964" s="33" t="inlineStr">
        <is>
          <t>Added Oct 2026. Spot check before this day goes live.</t>
        </is>
      </c>
      <c r="L964" s="35">
        <f>COUNTIFS($A$2:$A$1501,A964,$D$2:$D$1501,D964)</f>
        <v/>
      </c>
    </row>
    <row r="965">
      <c r="A965" s="35" t="n">
        <v>193</v>
      </c>
      <c r="B965" s="41" t="n">
        <v>46492</v>
      </c>
      <c r="C965" s="35" t="n">
        <v>4</v>
      </c>
      <c r="D965" s="33" t="inlineStr">
        <is>
          <t>History</t>
        </is>
      </c>
      <c r="E965" s="36" t="inlineStr">
        <is>
          <t>How many years did the Roman Republic last?</t>
        </is>
      </c>
      <c r="F965" s="42" t="n">
        <v>482</v>
      </c>
      <c r="G965" s="33" t="inlineStr">
        <is>
          <t>years</t>
        </is>
      </c>
      <c r="H965" s="35" t="inlineStr">
        <is>
          <t>Hard</t>
        </is>
      </c>
      <c r="I965" s="33" t="inlineStr">
        <is>
          <t>Britannica</t>
        </is>
      </c>
      <c r="J965" s="35" t="n"/>
      <c r="K965" s="33" t="inlineStr">
        <is>
          <t>Added Oct 2026. Spot check before this day goes live.</t>
        </is>
      </c>
      <c r="L965" s="35">
        <f>COUNTIFS($A$2:$A$1501,A965,$D$2:$D$1501,D965)</f>
        <v/>
      </c>
    </row>
    <row r="966">
      <c r="A966" s="35" t="n">
        <v>193</v>
      </c>
      <c r="B966" s="41" t="n">
        <v>46492</v>
      </c>
      <c r="C966" s="35" t="n">
        <v>5</v>
      </c>
      <c r="D966" s="33" t="inlineStr">
        <is>
          <t>Distance of the Day</t>
        </is>
      </c>
      <c r="E966" s="36" t="inlineStr">
        <is>
          <t>How far is it in a straight line from Oslo to Edinburgh?</t>
        </is>
      </c>
      <c r="F966" s="42" t="n">
        <v>930</v>
      </c>
      <c r="G966" s="33" t="inlineStr">
        <is>
          <t>km</t>
        </is>
      </c>
      <c r="H966" s="35" t="inlineStr">
        <is>
          <t>Easy</t>
        </is>
      </c>
      <c r="I966" s="33" t="inlineStr">
        <is>
          <t>Computed great-circle distance (city centre to city centre)</t>
        </is>
      </c>
      <c r="J966" s="35" t="n"/>
      <c r="K966" s="33" t="n"/>
      <c r="L966" s="35">
        <f>COUNTIFS($A$2:$A$1501,A966,$D$2:$D$1501,D966)</f>
        <v/>
      </c>
    </row>
    <row r="967">
      <c r="A967" s="35" t="n">
        <v>194</v>
      </c>
      <c r="B967" s="41" t="n">
        <v>46493</v>
      </c>
      <c r="C967" s="35" t="n">
        <v>1</v>
      </c>
      <c r="D967" s="33" t="inlineStr">
        <is>
          <t>Food and Everyday Life</t>
        </is>
      </c>
      <c r="E967" s="36" t="inlineStr">
        <is>
          <t>How many calories are in a 355 mL can of Coca-Cola?</t>
        </is>
      </c>
      <c r="F967" s="42" t="n">
        <v>140</v>
      </c>
      <c r="G967" s="33" t="inlineStr">
        <is>
          <t>calories</t>
        </is>
      </c>
      <c r="H967" s="35" t="inlineStr">
        <is>
          <t>Medium</t>
        </is>
      </c>
      <c r="I967" s="33" t="inlineStr">
        <is>
          <t>Coca-Cola</t>
        </is>
      </c>
      <c r="J967" s="35" t="n"/>
      <c r="K967" s="33" t="inlineStr">
        <is>
          <t>Added Oct 2026. Spot check before this day goes live.</t>
        </is>
      </c>
      <c r="L967" s="35">
        <f>COUNTIFS($A$2:$A$1501,A967,$D$2:$D$1501,D967)</f>
        <v/>
      </c>
    </row>
    <row r="968">
      <c r="A968" s="35" t="n">
        <v>194</v>
      </c>
      <c r="B968" s="41" t="n">
        <v>46493</v>
      </c>
      <c r="C968" s="35" t="n">
        <v>2</v>
      </c>
      <c r="D968" s="33" t="inlineStr">
        <is>
          <t>Human Body</t>
        </is>
      </c>
      <c r="E968" s="36" t="inlineStr">
        <is>
          <t>At what body temperature does a fever start?</t>
        </is>
      </c>
      <c r="F968" s="42" t="n">
        <v>38</v>
      </c>
      <c r="G968" s="33" t="inlineStr">
        <is>
          <t>°C</t>
        </is>
      </c>
      <c r="H968" s="35" t="inlineStr">
        <is>
          <t>Medium</t>
        </is>
      </c>
      <c r="I968" s="33" t="inlineStr">
        <is>
          <t>Canadian Paediatric Society</t>
        </is>
      </c>
      <c r="J968" s="35" t="n"/>
      <c r="K968" s="33" t="inlineStr">
        <is>
          <t>Added Oct 2026. Spot check before this day goes live.</t>
        </is>
      </c>
      <c r="L968" s="35">
        <f>COUNTIFS($A$2:$A$1501,A968,$D$2:$D$1501,D968)</f>
        <v/>
      </c>
    </row>
    <row r="969">
      <c r="A969" s="35" t="n">
        <v>194</v>
      </c>
      <c r="B969" s="41" t="n">
        <v>46493</v>
      </c>
      <c r="C969" s="35" t="n">
        <v>3</v>
      </c>
      <c r="D969" s="33" t="inlineStr">
        <is>
          <t>Sports</t>
        </is>
      </c>
      <c r="E969" s="36" t="inlineStr">
        <is>
          <t>How fast is the fastest badminton smash ever recorded?</t>
        </is>
      </c>
      <c r="F969" s="42" t="n">
        <v>565</v>
      </c>
      <c r="G969" s="33" t="inlineStr">
        <is>
          <t>km/h</t>
        </is>
      </c>
      <c r="H969" s="35" t="inlineStr">
        <is>
          <t>Hard</t>
        </is>
      </c>
      <c r="I969" s="33" t="inlineStr">
        <is>
          <t>Guinness World Records</t>
        </is>
      </c>
      <c r="J969" s="35" t="n"/>
      <c r="K969" s="33" t="inlineStr">
        <is>
          <t>Added Oct 2026. Spot check before this day goes live.</t>
        </is>
      </c>
      <c r="L969" s="35">
        <f>COUNTIFS($A$2:$A$1501,A969,$D$2:$D$1501,D969)</f>
        <v/>
      </c>
    </row>
    <row r="970">
      <c r="A970" s="35" t="n">
        <v>194</v>
      </c>
      <c r="B970" s="41" t="n">
        <v>46493</v>
      </c>
      <c r="C970" s="35" t="n">
        <v>4</v>
      </c>
      <c r="D970" s="33" t="inlineStr">
        <is>
          <t>Animals and Nature</t>
        </is>
      </c>
      <c r="E970" s="36" t="inlineStr">
        <is>
          <t>How fast is a mantis shrimp's punch?</t>
        </is>
      </c>
      <c r="F970" s="42" t="n">
        <v>80</v>
      </c>
      <c r="G970" s="33" t="inlineStr">
        <is>
          <t>km/h</t>
        </is>
      </c>
      <c r="H970" s="35" t="inlineStr">
        <is>
          <t>Hard</t>
        </is>
      </c>
      <c r="I970" s="33" t="inlineStr">
        <is>
          <t>Duke University study</t>
        </is>
      </c>
      <c r="J970" s="35" t="n"/>
      <c r="K970" s="33" t="inlineStr">
        <is>
          <t>Added Oct 2026. Spot check before this day goes live.</t>
        </is>
      </c>
      <c r="L970" s="35">
        <f>COUNTIFS($A$2:$A$1501,A970,$D$2:$D$1501,D970)</f>
        <v/>
      </c>
    </row>
    <row r="971">
      <c r="A971" s="35" t="n">
        <v>194</v>
      </c>
      <c r="B971" s="41" t="n">
        <v>46493</v>
      </c>
      <c r="C971" s="35" t="n">
        <v>5</v>
      </c>
      <c r="D971" s="33" t="inlineStr">
        <is>
          <t>Distance of the Day</t>
        </is>
      </c>
      <c r="E971" s="36" t="inlineStr">
        <is>
          <t>How far is it in a straight line from Whitehorse to Paris?</t>
        </is>
      </c>
      <c r="F971" s="42" t="n">
        <v>7250</v>
      </c>
      <c r="G971" s="33" t="inlineStr">
        <is>
          <t>km</t>
        </is>
      </c>
      <c r="H971" s="35" t="inlineStr">
        <is>
          <t>Medium</t>
        </is>
      </c>
      <c r="I971" s="33" t="inlineStr">
        <is>
          <t>Computed great-circle distance (city centre to city centre)</t>
        </is>
      </c>
      <c r="J971" s="35" t="n"/>
      <c r="K971" s="33" t="n"/>
      <c r="L971" s="35">
        <f>COUNTIFS($A$2:$A$1501,A971,$D$2:$D$1501,D971)</f>
        <v/>
      </c>
    </row>
    <row r="972">
      <c r="A972" s="35" t="n">
        <v>195</v>
      </c>
      <c r="B972" s="41" t="n">
        <v>46494</v>
      </c>
      <c r="C972" s="35" t="n">
        <v>1</v>
      </c>
      <c r="D972" s="33" t="inlineStr">
        <is>
          <t>Geography</t>
        </is>
      </c>
      <c r="E972" s="36" t="inlineStr">
        <is>
          <t>How many countries are in the European Union?</t>
        </is>
      </c>
      <c r="F972" s="42" t="n">
        <v>27</v>
      </c>
      <c r="G972" s="33" t="inlineStr">
        <is>
          <t>countries</t>
        </is>
      </c>
      <c r="H972" s="35" t="inlineStr">
        <is>
          <t>Easy</t>
        </is>
      </c>
      <c r="I972" s="33" t="inlineStr">
        <is>
          <t>European Union</t>
        </is>
      </c>
      <c r="J972" s="35" t="n"/>
      <c r="K972" s="33" t="inlineStr">
        <is>
          <t>Added Oct 2026. Spot check before this day goes live.</t>
        </is>
      </c>
      <c r="L972" s="35">
        <f>COUNTIFS($A$2:$A$1501,A972,$D$2:$D$1501,D972)</f>
        <v/>
      </c>
    </row>
    <row r="973">
      <c r="A973" s="35" t="n">
        <v>195</v>
      </c>
      <c r="B973" s="41" t="n">
        <v>46494</v>
      </c>
      <c r="C973" s="35" t="n">
        <v>2</v>
      </c>
      <c r="D973" s="33" t="inlineStr">
        <is>
          <t>History</t>
        </is>
      </c>
      <c r="E973" s="36" t="inlineStr">
        <is>
          <t>How many million people died in the 1918 flu pandemic, by common estimates?</t>
        </is>
      </c>
      <c r="F973" s="42" t="n">
        <v>50</v>
      </c>
      <c r="G973" s="33" t="inlineStr">
        <is>
          <t>million people</t>
        </is>
      </c>
      <c r="H973" s="35" t="inlineStr">
        <is>
          <t>Medium</t>
        </is>
      </c>
      <c r="I973" s="33" t="inlineStr">
        <is>
          <t>CDC</t>
        </is>
      </c>
      <c r="J973" s="35" t="n"/>
      <c r="K973" s="33" t="inlineStr">
        <is>
          <t>Added Oct 2026. Spot check before this day goes live.</t>
        </is>
      </c>
      <c r="L973" s="35">
        <f>COUNTIFS($A$2:$A$1501,A973,$D$2:$D$1501,D973)</f>
        <v/>
      </c>
    </row>
    <row r="974">
      <c r="A974" s="35" t="n">
        <v>195</v>
      </c>
      <c r="B974" s="41" t="n">
        <v>46494</v>
      </c>
      <c r="C974" s="35" t="n">
        <v>3</v>
      </c>
      <c r="D974" s="33" t="inlineStr">
        <is>
          <t>Canada</t>
        </is>
      </c>
      <c r="E974" s="36" t="inlineStr">
        <is>
          <t>How tall is the Big Nickel in Sudbury?</t>
        </is>
      </c>
      <c r="F974" s="42" t="n">
        <v>9</v>
      </c>
      <c r="G974" s="33" t="inlineStr">
        <is>
          <t>metres</t>
        </is>
      </c>
      <c r="H974" s="35" t="inlineStr">
        <is>
          <t>Medium</t>
        </is>
      </c>
      <c r="I974" s="33" t="inlineStr">
        <is>
          <t>Science North</t>
        </is>
      </c>
      <c r="J974" s="35" t="n"/>
      <c r="K974" s="33" t="inlineStr">
        <is>
          <t>Added Oct 2026. Spot check before this day goes live.</t>
        </is>
      </c>
      <c r="L974" s="35">
        <f>COUNTIFS($A$2:$A$1501,A974,$D$2:$D$1501,D974)</f>
        <v/>
      </c>
    </row>
    <row r="975">
      <c r="A975" s="35" t="n">
        <v>195</v>
      </c>
      <c r="B975" s="41" t="n">
        <v>46494</v>
      </c>
      <c r="C975" s="35" t="n">
        <v>4</v>
      </c>
      <c r="D975" s="33" t="inlineStr">
        <is>
          <t>Space and Science</t>
        </is>
      </c>
      <c r="E975" s="36" t="inlineStr">
        <is>
          <t>How many carats was the Cullinan, the largest gem-quality diamond ever found?</t>
        </is>
      </c>
      <c r="F975" s="42" t="n">
        <v>3106</v>
      </c>
      <c r="G975" s="33" t="inlineStr">
        <is>
          <t>carats</t>
        </is>
      </c>
      <c r="H975" s="35" t="inlineStr">
        <is>
          <t>Hard</t>
        </is>
      </c>
      <c r="I975" s="33" t="inlineStr">
        <is>
          <t>Royal Collection Trust</t>
        </is>
      </c>
      <c r="J975" s="35" t="n"/>
      <c r="K975" s="33" t="inlineStr">
        <is>
          <t>Added Oct 2026. Spot check before this day goes live.</t>
        </is>
      </c>
      <c r="L975" s="35">
        <f>COUNTIFS($A$2:$A$1501,A975,$D$2:$D$1501,D975)</f>
        <v/>
      </c>
    </row>
    <row r="976">
      <c r="A976" s="35" t="n">
        <v>195</v>
      </c>
      <c r="B976" s="41" t="n">
        <v>46494</v>
      </c>
      <c r="C976" s="35" t="n">
        <v>5</v>
      </c>
      <c r="D976" s="33" t="inlineStr">
        <is>
          <t>Distance of the Day</t>
        </is>
      </c>
      <c r="E976" s="36" t="inlineStr">
        <is>
          <t>How far is it in a straight line from Hamilton to Islamabad?</t>
        </is>
      </c>
      <c r="F976" s="42" t="n">
        <v>11030</v>
      </c>
      <c r="G976" s="33" t="inlineStr">
        <is>
          <t>km</t>
        </is>
      </c>
      <c r="H976" s="35" t="inlineStr">
        <is>
          <t>Hard</t>
        </is>
      </c>
      <c r="I976" s="33" t="inlineStr">
        <is>
          <t>Computed great-circle distance (city centre to city centre)</t>
        </is>
      </c>
      <c r="J976" s="35" t="n"/>
      <c r="K976" s="33" t="n"/>
      <c r="L976" s="35">
        <f>COUNTIFS($A$2:$A$1501,A976,$D$2:$D$1501,D976)</f>
        <v/>
      </c>
    </row>
    <row r="977">
      <c r="A977" s="35" t="n">
        <v>196</v>
      </c>
      <c r="B977" s="41" t="n">
        <v>46495</v>
      </c>
      <c r="C977" s="35" t="n">
        <v>1</v>
      </c>
      <c r="D977" s="33" t="inlineStr">
        <is>
          <t>Buildings and Engineering</t>
        </is>
      </c>
      <c r="E977" s="36" t="inlineStr">
        <is>
          <t>How many floors does the Burj Khalifa have?</t>
        </is>
      </c>
      <c r="F977" s="42" t="n">
        <v>163</v>
      </c>
      <c r="G977" s="33" t="inlineStr">
        <is>
          <t>floors</t>
        </is>
      </c>
      <c r="H977" s="35" t="inlineStr">
        <is>
          <t>Easy</t>
        </is>
      </c>
      <c r="I977" s="33" t="inlineStr">
        <is>
          <t>Burj Khalifa</t>
        </is>
      </c>
      <c r="J977" s="35" t="n"/>
      <c r="K977" s="33" t="inlineStr">
        <is>
          <t>Added Oct 2026. Spot check before this day goes live.</t>
        </is>
      </c>
      <c r="L977" s="35">
        <f>COUNTIFS($A$2:$A$1501,A977,$D$2:$D$1501,D977)</f>
        <v/>
      </c>
    </row>
    <row r="978">
      <c r="A978" s="35" t="n">
        <v>196</v>
      </c>
      <c r="B978" s="41" t="n">
        <v>46495</v>
      </c>
      <c r="C978" s="35" t="n">
        <v>2</v>
      </c>
      <c r="D978" s="33" t="inlineStr">
        <is>
          <t>Sports</t>
        </is>
      </c>
      <c r="E978" s="36" t="inlineStr">
        <is>
          <t>How far did Mike Powell jump in his long jump world record?</t>
        </is>
      </c>
      <c r="F978" s="42" t="n">
        <v>8.949999999999999</v>
      </c>
      <c r="G978" s="33" t="inlineStr">
        <is>
          <t>metres</t>
        </is>
      </c>
      <c r="H978" s="35" t="inlineStr">
        <is>
          <t>Medium</t>
        </is>
      </c>
      <c r="I978" s="33" t="inlineStr">
        <is>
          <t>World Athletics</t>
        </is>
      </c>
      <c r="J978" s="35" t="n"/>
      <c r="K978" s="33" t="inlineStr">
        <is>
          <t>Added Oct 2026. Spot check before this day goes live.</t>
        </is>
      </c>
      <c r="L978" s="35">
        <f>COUNTIFS($A$2:$A$1501,A978,$D$2:$D$1501,D978)</f>
        <v/>
      </c>
    </row>
    <row r="979">
      <c r="A979" s="35" t="n">
        <v>196</v>
      </c>
      <c r="B979" s="41" t="n">
        <v>46495</v>
      </c>
      <c r="C979" s="35" t="n">
        <v>3</v>
      </c>
      <c r="D979" s="33" t="inlineStr">
        <is>
          <t>Animals and Nature</t>
        </is>
      </c>
      <c r="E979" s="36" t="inlineStr">
        <is>
          <t>How many types of colour receptors does a mantis shrimp have?</t>
        </is>
      </c>
      <c r="F979" s="42" t="n">
        <v>16</v>
      </c>
      <c r="G979" s="33" t="inlineStr">
        <is>
          <t>receptors</t>
        </is>
      </c>
      <c r="H979" s="35" t="inlineStr">
        <is>
          <t>Hard</t>
        </is>
      </c>
      <c r="I979" s="33" t="inlineStr">
        <is>
          <t>University of Queensland</t>
        </is>
      </c>
      <c r="J979" s="35" t="n"/>
      <c r="K979" s="33" t="inlineStr">
        <is>
          <t>Added Oct 2026. Spot check before this day goes live.</t>
        </is>
      </c>
      <c r="L979" s="35">
        <f>COUNTIFS($A$2:$A$1501,A979,$D$2:$D$1501,D979)</f>
        <v/>
      </c>
    </row>
    <row r="980">
      <c r="A980" s="35" t="n">
        <v>196</v>
      </c>
      <c r="B980" s="41" t="n">
        <v>46495</v>
      </c>
      <c r="C980" s="35" t="n">
        <v>4</v>
      </c>
      <c r="D980" s="33" t="inlineStr">
        <is>
          <t>Food and Everyday Life</t>
        </is>
      </c>
      <c r="E980" s="36" t="inlineStr">
        <is>
          <t>How many grams of sugar are in a tablespoon of honey?</t>
        </is>
      </c>
      <c r="F980" s="42" t="n">
        <v>17</v>
      </c>
      <c r="G980" s="33" t="inlineStr">
        <is>
          <t>grams</t>
        </is>
      </c>
      <c r="H980" s="35" t="inlineStr">
        <is>
          <t>Hard</t>
        </is>
      </c>
      <c r="I980" s="33" t="inlineStr">
        <is>
          <t>USDA FoodData Central</t>
        </is>
      </c>
      <c r="J980" s="35" t="n"/>
      <c r="K980" s="33" t="inlineStr">
        <is>
          <t>Added Oct 2026. Spot check before this day goes live.</t>
        </is>
      </c>
      <c r="L980" s="35">
        <f>COUNTIFS($A$2:$A$1501,A980,$D$2:$D$1501,D980)</f>
        <v/>
      </c>
    </row>
    <row r="981">
      <c r="A981" s="35" t="n">
        <v>196</v>
      </c>
      <c r="B981" s="41" t="n">
        <v>46495</v>
      </c>
      <c r="C981" s="35" t="n">
        <v>5</v>
      </c>
      <c r="D981" s="33" t="inlineStr">
        <is>
          <t>Distance of the Day</t>
        </is>
      </c>
      <c r="E981" s="36" t="inlineStr">
        <is>
          <t>How far is it in a straight line from Stockholm to Oslo?</t>
        </is>
      </c>
      <c r="F981" s="42" t="n">
        <v>420</v>
      </c>
      <c r="G981" s="33" t="inlineStr">
        <is>
          <t>km</t>
        </is>
      </c>
      <c r="H981" s="35" t="inlineStr">
        <is>
          <t>Easy</t>
        </is>
      </c>
      <c r="I981" s="33" t="inlineStr">
        <is>
          <t>Computed great-circle distance (city centre to city centre)</t>
        </is>
      </c>
      <c r="J981" s="35" t="n"/>
      <c r="K981" s="33" t="n"/>
      <c r="L981" s="35">
        <f>COUNTIFS($A$2:$A$1501,A981,$D$2:$D$1501,D981)</f>
        <v/>
      </c>
    </row>
    <row r="982">
      <c r="A982" s="35" t="n">
        <v>197</v>
      </c>
      <c r="B982" s="41" t="n">
        <v>46496</v>
      </c>
      <c r="C982" s="35" t="n">
        <v>1</v>
      </c>
      <c r="D982" s="33" t="inlineStr">
        <is>
          <t>Movies, Music and Games</t>
        </is>
      </c>
      <c r="E982" s="36" t="inlineStr">
        <is>
          <t>How many points is the letter Q worth in English Scrabble?</t>
        </is>
      </c>
      <c r="F982" s="42" t="n">
        <v>10</v>
      </c>
      <c r="G982" s="33" t="inlineStr">
        <is>
          <t>points</t>
        </is>
      </c>
      <c r="H982" s="35" t="inlineStr">
        <is>
          <t>Medium</t>
        </is>
      </c>
      <c r="I982" s="33" t="inlineStr">
        <is>
          <t>Hasbro</t>
        </is>
      </c>
      <c r="J982" s="35" t="n"/>
      <c r="K982" s="33" t="inlineStr">
        <is>
          <t>Added Oct 2026. Spot check before this day goes live.</t>
        </is>
      </c>
      <c r="L982" s="35">
        <f>COUNTIFS($A$2:$A$1501,A982,$D$2:$D$1501,D982)</f>
        <v/>
      </c>
    </row>
    <row r="983">
      <c r="A983" s="35" t="n">
        <v>197</v>
      </c>
      <c r="B983" s="41" t="n">
        <v>46496</v>
      </c>
      <c r="C983" s="35" t="n">
        <v>2</v>
      </c>
      <c r="D983" s="33" t="inlineStr">
        <is>
          <t>Human Body</t>
        </is>
      </c>
      <c r="E983" s="36" t="inlineStr">
        <is>
          <t>How many litres of blood does a blood donor give in one donation?</t>
        </is>
      </c>
      <c r="F983" s="42" t="n">
        <v>0.45</v>
      </c>
      <c r="G983" s="33" t="inlineStr">
        <is>
          <t>litres</t>
        </is>
      </c>
      <c r="H983" s="35" t="inlineStr">
        <is>
          <t>Medium</t>
        </is>
      </c>
      <c r="I983" s="33" t="inlineStr">
        <is>
          <t>Canadian Blood Services</t>
        </is>
      </c>
      <c r="J983" s="35" t="n"/>
      <c r="K983" s="33" t="inlineStr">
        <is>
          <t>Added Oct 2026. Spot check before this day goes live.</t>
        </is>
      </c>
      <c r="L983" s="35">
        <f>COUNTIFS($A$2:$A$1501,A983,$D$2:$D$1501,D983)</f>
        <v/>
      </c>
    </row>
    <row r="984">
      <c r="A984" s="35" t="n">
        <v>197</v>
      </c>
      <c r="B984" s="41" t="n">
        <v>46496</v>
      </c>
      <c r="C984" s="35" t="n">
        <v>3</v>
      </c>
      <c r="D984" s="33" t="inlineStr">
        <is>
          <t>Geography</t>
        </is>
      </c>
      <c r="E984" s="36" t="inlineStr">
        <is>
          <t>How big is Lake Erie?</t>
        </is>
      </c>
      <c r="F984" s="42" t="n">
        <v>25700</v>
      </c>
      <c r="G984" s="33" t="inlineStr">
        <is>
          <t>km²</t>
        </is>
      </c>
      <c r="H984" s="35" t="inlineStr">
        <is>
          <t>Hard</t>
        </is>
      </c>
      <c r="I984" s="33" t="inlineStr">
        <is>
          <t>US EPA Great Lakes</t>
        </is>
      </c>
      <c r="J984" s="35" t="n"/>
      <c r="K984" s="33" t="inlineStr">
        <is>
          <t>Added Oct 2026. Spot check before this day goes live.</t>
        </is>
      </c>
      <c r="L984" s="35">
        <f>COUNTIFS($A$2:$A$1501,A984,$D$2:$D$1501,D984)</f>
        <v/>
      </c>
    </row>
    <row r="985">
      <c r="A985" s="35" t="n">
        <v>197</v>
      </c>
      <c r="B985" s="41" t="n">
        <v>46496</v>
      </c>
      <c r="C985" s="35" t="n">
        <v>4</v>
      </c>
      <c r="D985" s="33" t="inlineStr">
        <is>
          <t>History</t>
        </is>
      </c>
      <c r="E985" s="36" t="inlineStr">
        <is>
          <t>How many hours did Apollo 11 take to reach lunar orbit?</t>
        </is>
      </c>
      <c r="F985" s="42" t="n">
        <v>76</v>
      </c>
      <c r="G985" s="33" t="inlineStr">
        <is>
          <t>hours</t>
        </is>
      </c>
      <c r="H985" s="35" t="inlineStr">
        <is>
          <t>Hard</t>
        </is>
      </c>
      <c r="I985" s="33" t="inlineStr">
        <is>
          <t>NASA</t>
        </is>
      </c>
      <c r="J985" s="35" t="n"/>
      <c r="K985" s="33" t="inlineStr">
        <is>
          <t>Added Oct 2026. Spot check before this day goes live.</t>
        </is>
      </c>
      <c r="L985" s="35">
        <f>COUNTIFS($A$2:$A$1501,A985,$D$2:$D$1501,D985)</f>
        <v/>
      </c>
    </row>
    <row r="986">
      <c r="A986" s="35" t="n">
        <v>197</v>
      </c>
      <c r="B986" s="41" t="n">
        <v>46496</v>
      </c>
      <c r="C986" s="35" t="n">
        <v>5</v>
      </c>
      <c r="D986" s="33" t="inlineStr">
        <is>
          <t>Distance of the Day</t>
        </is>
      </c>
      <c r="E986" s="36" t="inlineStr">
        <is>
          <t>How far is it in a straight line from Iqaluit to Reykjavik?</t>
        </is>
      </c>
      <c r="F986" s="42" t="n">
        <v>2220</v>
      </c>
      <c r="G986" s="33" t="inlineStr">
        <is>
          <t>km</t>
        </is>
      </c>
      <c r="H986" s="35" t="inlineStr">
        <is>
          <t>Medium</t>
        </is>
      </c>
      <c r="I986" s="33" t="inlineStr">
        <is>
          <t>Computed great-circle distance (city centre to city centre)</t>
        </is>
      </c>
      <c r="J986" s="35" t="n"/>
      <c r="K986" s="33" t="n"/>
      <c r="L986" s="35">
        <f>COUNTIFS($A$2:$A$1501,A986,$D$2:$D$1501,D986)</f>
        <v/>
      </c>
    </row>
    <row r="987">
      <c r="A987" s="35" t="n">
        <v>198</v>
      </c>
      <c r="B987" s="41" t="n">
        <v>46497</v>
      </c>
      <c r="C987" s="35" t="n">
        <v>1</v>
      </c>
      <c r="D987" s="33" t="inlineStr">
        <is>
          <t>Buildings and Engineering</t>
        </is>
      </c>
      <c r="E987" s="36" t="inlineStr">
        <is>
          <t>How many sides does the Pentagon building have?</t>
        </is>
      </c>
      <c r="F987" s="42" t="n">
        <v>5</v>
      </c>
      <c r="G987" s="33" t="inlineStr">
        <is>
          <t>sides</t>
        </is>
      </c>
      <c r="H987" s="35" t="inlineStr">
        <is>
          <t>Easy</t>
        </is>
      </c>
      <c r="I987" s="33" t="inlineStr">
        <is>
          <t>US Department of Defense</t>
        </is>
      </c>
      <c r="J987" s="35" t="n"/>
      <c r="K987" s="33" t="inlineStr">
        <is>
          <t>Added Oct 2026. Spot check before this day goes live.</t>
        </is>
      </c>
      <c r="L987" s="35">
        <f>COUNTIFS($A$2:$A$1501,A987,$D$2:$D$1501,D987)</f>
        <v/>
      </c>
    </row>
    <row r="988">
      <c r="A988" s="35" t="n">
        <v>198</v>
      </c>
      <c r="B988" s="41" t="n">
        <v>46497</v>
      </c>
      <c r="C988" s="35" t="n">
        <v>2</v>
      </c>
      <c r="D988" s="33" t="inlineStr">
        <is>
          <t>Sports</t>
        </is>
      </c>
      <c r="E988" s="36" t="inlineStr">
        <is>
          <t>How long is a bowling lane from the foul line to the head pin?</t>
        </is>
      </c>
      <c r="F988" s="42" t="n">
        <v>60</v>
      </c>
      <c r="G988" s="33" t="inlineStr">
        <is>
          <t>feet</t>
        </is>
      </c>
      <c r="H988" s="35" t="inlineStr">
        <is>
          <t>Medium</t>
        </is>
      </c>
      <c r="I988" s="33" t="inlineStr">
        <is>
          <t>USBC</t>
        </is>
      </c>
      <c r="J988" s="35" t="n"/>
      <c r="K988" s="33" t="inlineStr">
        <is>
          <t>Added Oct 2026. Spot check before this day goes live.</t>
        </is>
      </c>
      <c r="L988" s="35">
        <f>COUNTIFS($A$2:$A$1501,A988,$D$2:$D$1501,D988)</f>
        <v/>
      </c>
    </row>
    <row r="989">
      <c r="A989" s="35" t="n">
        <v>198</v>
      </c>
      <c r="B989" s="41" t="n">
        <v>46497</v>
      </c>
      <c r="C989" s="35" t="n">
        <v>3</v>
      </c>
      <c r="D989" s="33" t="inlineStr">
        <is>
          <t>Space and Science</t>
        </is>
      </c>
      <c r="E989" s="36" t="inlineStr">
        <is>
          <t>How many seconds does light take to travel from the Moon to Earth?</t>
        </is>
      </c>
      <c r="F989" s="42" t="n">
        <v>1.3</v>
      </c>
      <c r="G989" s="33" t="inlineStr">
        <is>
          <t>seconds</t>
        </is>
      </c>
      <c r="H989" s="35" t="inlineStr">
        <is>
          <t>Medium</t>
        </is>
      </c>
      <c r="I989" s="33" t="inlineStr">
        <is>
          <t>NASA</t>
        </is>
      </c>
      <c r="J989" s="35" t="n"/>
      <c r="K989" s="33" t="inlineStr">
        <is>
          <t>Added Oct 2026. Spot check before this day goes live.</t>
        </is>
      </c>
      <c r="L989" s="35">
        <f>COUNTIFS($A$2:$A$1501,A989,$D$2:$D$1501,D989)</f>
        <v/>
      </c>
    </row>
    <row r="990">
      <c r="A990" s="35" t="n">
        <v>198</v>
      </c>
      <c r="B990" s="41" t="n">
        <v>46497</v>
      </c>
      <c r="C990" s="35" t="n">
        <v>4</v>
      </c>
      <c r="D990" s="33" t="inlineStr">
        <is>
          <t>Animals and Nature</t>
        </is>
      </c>
      <c r="E990" s="36" t="inlineStr">
        <is>
          <t>How many venomous snake species are there?</t>
        </is>
      </c>
      <c r="F990" s="42" t="n">
        <v>600</v>
      </c>
      <c r="G990" s="33" t="inlineStr">
        <is>
          <t>species</t>
        </is>
      </c>
      <c r="H990" s="35" t="inlineStr">
        <is>
          <t>Hard</t>
        </is>
      </c>
      <c r="I990" s="33" t="inlineStr">
        <is>
          <t>WHO</t>
        </is>
      </c>
      <c r="J990" s="35" t="n"/>
      <c r="K990" s="33" t="inlineStr">
        <is>
          <t>Added Oct 2026. Spot check before this day goes live.</t>
        </is>
      </c>
      <c r="L990" s="35">
        <f>COUNTIFS($A$2:$A$1501,A990,$D$2:$D$1501,D990)</f>
        <v/>
      </c>
    </row>
    <row r="991">
      <c r="A991" s="35" t="n">
        <v>198</v>
      </c>
      <c r="B991" s="41" t="n">
        <v>46497</v>
      </c>
      <c r="C991" s="35" t="n">
        <v>5</v>
      </c>
      <c r="D991" s="33" t="inlineStr">
        <is>
          <t>Distance of the Day</t>
        </is>
      </c>
      <c r="E991" s="36" t="inlineStr">
        <is>
          <t>How far is it in a straight line from Ottawa to Doha?</t>
        </is>
      </c>
      <c r="F991" s="42" t="n">
        <v>10520</v>
      </c>
      <c r="G991" s="33" t="inlineStr">
        <is>
          <t>km</t>
        </is>
      </c>
      <c r="H991" s="35" t="inlineStr">
        <is>
          <t>Hard</t>
        </is>
      </c>
      <c r="I991" s="33" t="inlineStr">
        <is>
          <t>Computed great-circle distance (city centre to city centre)</t>
        </is>
      </c>
      <c r="J991" s="35" t="n"/>
      <c r="K991" s="33" t="n"/>
      <c r="L991" s="35">
        <f>COUNTIFS($A$2:$A$1501,A991,$D$2:$D$1501,D991)</f>
        <v/>
      </c>
    </row>
    <row r="992">
      <c r="A992" s="35" t="n">
        <v>199</v>
      </c>
      <c r="B992" s="41" t="n">
        <v>46498</v>
      </c>
      <c r="C992" s="35" t="n">
        <v>1</v>
      </c>
      <c r="D992" s="33" t="inlineStr">
        <is>
          <t>Food and Everyday Life</t>
        </is>
      </c>
      <c r="E992" s="36" t="inlineStr">
        <is>
          <t>How many cups are in a litre, using metric cups?</t>
        </is>
      </c>
      <c r="F992" s="42" t="n">
        <v>4</v>
      </c>
      <c r="G992" s="33" t="inlineStr">
        <is>
          <t>cups</t>
        </is>
      </c>
      <c r="H992" s="35" t="inlineStr">
        <is>
          <t>Easy</t>
        </is>
      </c>
      <c r="I992" s="33" t="inlineStr">
        <is>
          <t>Health Canada</t>
        </is>
      </c>
      <c r="J992" s="35" t="n"/>
      <c r="K992" s="33" t="inlineStr">
        <is>
          <t>Added Oct 2026. Spot check before this day goes live.</t>
        </is>
      </c>
      <c r="L992" s="35">
        <f>COUNTIFS($A$2:$A$1501,A992,$D$2:$D$1501,D992)</f>
        <v/>
      </c>
    </row>
    <row r="993">
      <c r="A993" s="35" t="n">
        <v>199</v>
      </c>
      <c r="B993" s="41" t="n">
        <v>46498</v>
      </c>
      <c r="C993" s="35" t="n">
        <v>2</v>
      </c>
      <c r="D993" s="33" t="inlineStr">
        <is>
          <t>Human Body</t>
        </is>
      </c>
      <c r="E993" s="36" t="inlineStr">
        <is>
          <t>At what loudness does sound start to cause pain?</t>
        </is>
      </c>
      <c r="F993" s="42" t="n">
        <v>120</v>
      </c>
      <c r="G993" s="33" t="inlineStr">
        <is>
          <t>decibels</t>
        </is>
      </c>
      <c r="H993" s="35" t="inlineStr">
        <is>
          <t>Medium</t>
        </is>
      </c>
      <c r="I993" s="33" t="inlineStr">
        <is>
          <t>Canadian Centre for Occupational Health and Safety</t>
        </is>
      </c>
      <c r="J993" s="35" t="n"/>
      <c r="K993" s="33" t="inlineStr">
        <is>
          <t>Added Oct 2026. Spot check before this day goes live.</t>
        </is>
      </c>
      <c r="L993" s="35">
        <f>COUNTIFS($A$2:$A$1501,A993,$D$2:$D$1501,D993)</f>
        <v/>
      </c>
    </row>
    <row r="994">
      <c r="A994" s="35" t="n">
        <v>199</v>
      </c>
      <c r="B994" s="41" t="n">
        <v>46498</v>
      </c>
      <c r="C994" s="35" t="n">
        <v>3</v>
      </c>
      <c r="D994" s="33" t="inlineStr">
        <is>
          <t>Canada</t>
        </is>
      </c>
      <c r="E994" s="36" t="inlineStr">
        <is>
          <t>How big is Cape Breton Island?</t>
        </is>
      </c>
      <c r="F994" s="42" t="n">
        <v>10311</v>
      </c>
      <c r="G994" s="33" t="inlineStr">
        <is>
          <t>km²</t>
        </is>
      </c>
      <c r="H994" s="35" t="inlineStr">
        <is>
          <t>Hard</t>
        </is>
      </c>
      <c r="I994" s="33" t="inlineStr">
        <is>
          <t>Natural Resources Canada</t>
        </is>
      </c>
      <c r="J994" s="35" t="n"/>
      <c r="K994" s="33" t="inlineStr">
        <is>
          <t>Added Oct 2026. Spot check before this day goes live.</t>
        </is>
      </c>
      <c r="L994" s="35">
        <f>COUNTIFS($A$2:$A$1501,A994,$D$2:$D$1501,D994)</f>
        <v/>
      </c>
    </row>
    <row r="995">
      <c r="A995" s="35" t="n">
        <v>199</v>
      </c>
      <c r="B995" s="41" t="n">
        <v>46498</v>
      </c>
      <c r="C995" s="35" t="n">
        <v>4</v>
      </c>
      <c r="D995" s="33" t="inlineStr">
        <is>
          <t>Movies, Music and Games</t>
        </is>
      </c>
      <c r="E995" s="36" t="inlineStr">
        <is>
          <t>What is the highest possible score in the original Pac-Man?</t>
        </is>
      </c>
      <c r="F995" s="42" t="n">
        <v>3333360</v>
      </c>
      <c r="G995" s="33" t="inlineStr">
        <is>
          <t>points</t>
        </is>
      </c>
      <c r="H995" s="35" t="inlineStr">
        <is>
          <t>Hard</t>
        </is>
      </c>
      <c r="I995" s="33" t="inlineStr">
        <is>
          <t>Guinness World Records</t>
        </is>
      </c>
      <c r="J995" s="35" t="n"/>
      <c r="K995" s="33" t="inlineStr">
        <is>
          <t>Added Oct 2026. Spot check before this day goes live.</t>
        </is>
      </c>
      <c r="L995" s="35">
        <f>COUNTIFS($A$2:$A$1501,A995,$D$2:$D$1501,D995)</f>
        <v/>
      </c>
    </row>
    <row r="996">
      <c r="A996" s="35" t="n">
        <v>199</v>
      </c>
      <c r="B996" s="41" t="n">
        <v>46498</v>
      </c>
      <c r="C996" s="35" t="n">
        <v>5</v>
      </c>
      <c r="D996" s="33" t="inlineStr">
        <is>
          <t>Distance of the Day</t>
        </is>
      </c>
      <c r="E996" s="36" t="inlineStr">
        <is>
          <t>How far is it in a straight line from Tokyo to Kathmandu?</t>
        </is>
      </c>
      <c r="F996" s="42" t="n">
        <v>5150</v>
      </c>
      <c r="G996" s="33" t="inlineStr">
        <is>
          <t>km</t>
        </is>
      </c>
      <c r="H996" s="35" t="inlineStr">
        <is>
          <t>Medium</t>
        </is>
      </c>
      <c r="I996" s="33" t="inlineStr">
        <is>
          <t>Computed great-circle distance (city centre to city centre)</t>
        </is>
      </c>
      <c r="J996" s="35" t="n"/>
      <c r="K996" s="33" t="n"/>
      <c r="L996" s="35">
        <f>COUNTIFS($A$2:$A$1501,A996,$D$2:$D$1501,D996)</f>
        <v/>
      </c>
    </row>
    <row r="997">
      <c r="A997" s="35" t="n">
        <v>200</v>
      </c>
      <c r="B997" s="41" t="n">
        <v>46499</v>
      </c>
      <c r="C997" s="35" t="n">
        <v>1</v>
      </c>
      <c r="D997" s="33" t="inlineStr">
        <is>
          <t>History</t>
        </is>
      </c>
      <c r="E997" s="36" t="inlineStr">
        <is>
          <t>How many Spartans famously fought at Thermopylae?</t>
        </is>
      </c>
      <c r="F997" s="42" t="n">
        <v>300</v>
      </c>
      <c r="G997" s="33" t="inlineStr">
        <is>
          <t>Spartans</t>
        </is>
      </c>
      <c r="H997" s="35" t="inlineStr">
        <is>
          <t>Easy</t>
        </is>
      </c>
      <c r="I997" s="33" t="inlineStr">
        <is>
          <t>Britannica</t>
        </is>
      </c>
      <c r="J997" s="35" t="n"/>
      <c r="K997" s="33" t="inlineStr">
        <is>
          <t>Added Oct 2026. Spot check before this day goes live.</t>
        </is>
      </c>
      <c r="L997" s="35">
        <f>COUNTIFS($A$2:$A$1501,A997,$D$2:$D$1501,D997)</f>
        <v/>
      </c>
    </row>
    <row r="998">
      <c r="A998" s="35" t="n">
        <v>200</v>
      </c>
      <c r="B998" s="41" t="n">
        <v>46499</v>
      </c>
      <c r="C998" s="35" t="n">
        <v>2</v>
      </c>
      <c r="D998" s="33" t="inlineStr">
        <is>
          <t>Sports</t>
        </is>
      </c>
      <c r="E998" s="36" t="inlineStr">
        <is>
          <t>How many French Open singles titles did Rafael Nadal win?</t>
        </is>
      </c>
      <c r="F998" s="42" t="n">
        <v>14</v>
      </c>
      <c r="G998" s="33" t="inlineStr">
        <is>
          <t>titles</t>
        </is>
      </c>
      <c r="H998" s="35" t="inlineStr">
        <is>
          <t>Medium</t>
        </is>
      </c>
      <c r="I998" s="33" t="inlineStr">
        <is>
          <t>ATP</t>
        </is>
      </c>
      <c r="J998" s="35" t="n"/>
      <c r="K998" s="33" t="inlineStr">
        <is>
          <t>Added Oct 2026. Spot check before this day goes live.</t>
        </is>
      </c>
      <c r="L998" s="35">
        <f>COUNTIFS($A$2:$A$1501,A998,$D$2:$D$1501,D998)</f>
        <v/>
      </c>
    </row>
    <row r="999">
      <c r="A999" s="35" t="n">
        <v>200</v>
      </c>
      <c r="B999" s="41" t="n">
        <v>46499</v>
      </c>
      <c r="C999" s="35" t="n">
        <v>3</v>
      </c>
      <c r="D999" s="33" t="inlineStr">
        <is>
          <t>Buildings and Engineering</t>
        </is>
      </c>
      <c r="E999" s="36" t="inlineStr">
        <is>
          <t>How long is the Hong Kong–Zhuhai–Macau Bridge?</t>
        </is>
      </c>
      <c r="F999" s="42" t="n">
        <v>55</v>
      </c>
      <c r="G999" s="33" t="inlineStr">
        <is>
          <t>km</t>
        </is>
      </c>
      <c r="H999" s="35" t="inlineStr">
        <is>
          <t>Medium</t>
        </is>
      </c>
      <c r="I999" s="33" t="inlineStr">
        <is>
          <t>Hong Kong government</t>
        </is>
      </c>
      <c r="J999" s="35" t="n"/>
      <c r="K999" s="33" t="inlineStr">
        <is>
          <t>Added Oct 2026. Spot check before this day goes live.</t>
        </is>
      </c>
      <c r="L999" s="35">
        <f>COUNTIFS($A$2:$A$1501,A999,$D$2:$D$1501,D999)</f>
        <v/>
      </c>
    </row>
    <row r="1000">
      <c r="A1000" s="35" t="n">
        <v>200</v>
      </c>
      <c r="B1000" s="41" t="n">
        <v>46499</v>
      </c>
      <c r="C1000" s="35" t="n">
        <v>4</v>
      </c>
      <c r="D1000" s="33" t="inlineStr">
        <is>
          <t>Geography</t>
        </is>
      </c>
      <c r="E1000" s="36" t="inlineStr">
        <is>
          <t>How long is the Ganges River?</t>
        </is>
      </c>
      <c r="F1000" s="42" t="n">
        <v>2525</v>
      </c>
      <c r="G1000" s="33" t="inlineStr">
        <is>
          <t>km</t>
        </is>
      </c>
      <c r="H1000" s="35" t="inlineStr">
        <is>
          <t>Hard</t>
        </is>
      </c>
      <c r="I1000" s="33" t="inlineStr">
        <is>
          <t>Britannica</t>
        </is>
      </c>
      <c r="J1000" s="35" t="n"/>
      <c r="K1000" s="33" t="inlineStr">
        <is>
          <t>Added Oct 2026. Spot check before this day goes live.</t>
        </is>
      </c>
      <c r="L1000" s="35">
        <f>COUNTIFS($A$2:$A$1501,A1000,$D$2:$D$1501,D1000)</f>
        <v/>
      </c>
    </row>
    <row r="1001">
      <c r="A1001" s="35" t="n">
        <v>200</v>
      </c>
      <c r="B1001" s="41" t="n">
        <v>46499</v>
      </c>
      <c r="C1001" s="35" t="n">
        <v>5</v>
      </c>
      <c r="D1001" s="33" t="inlineStr">
        <is>
          <t>Distance of the Day</t>
        </is>
      </c>
      <c r="E1001" s="36" t="inlineStr">
        <is>
          <t>How far is it in a straight line from Vienna to Warsaw?</t>
        </is>
      </c>
      <c r="F1001" s="42" t="n">
        <v>560</v>
      </c>
      <c r="G1001" s="33" t="inlineStr">
        <is>
          <t>km</t>
        </is>
      </c>
      <c r="H1001" s="35" t="inlineStr">
        <is>
          <t>Easy</t>
        </is>
      </c>
      <c r="I1001" s="33" t="inlineStr">
        <is>
          <t>Computed great-circle distance (city centre to city centre)</t>
        </is>
      </c>
      <c r="J1001" s="35" t="n"/>
      <c r="K1001" s="33" t="n"/>
      <c r="L1001" s="35">
        <f>COUNTIFS($A$2:$A$1501,A1001,$D$2:$D$1501,D1001)</f>
        <v/>
      </c>
    </row>
    <row r="1002">
      <c r="A1002" s="35" t="n">
        <v>201</v>
      </c>
      <c r="B1002" s="41" t="n">
        <v>46500</v>
      </c>
      <c r="C1002" s="35" t="n">
        <v>1</v>
      </c>
      <c r="D1002" s="33" t="inlineStr">
        <is>
          <t>Animals and Nature</t>
        </is>
      </c>
      <c r="E1002" s="36" t="inlineStr">
        <is>
          <t>How many times per second can a hummingbird beat its wings?</t>
        </is>
      </c>
      <c r="F1002" s="42" t="n">
        <v>80</v>
      </c>
      <c r="G1002" s="33" t="inlineStr">
        <is>
          <t>beats</t>
        </is>
      </c>
      <c r="H1002" s="35" t="inlineStr">
        <is>
          <t>Medium</t>
        </is>
      </c>
      <c r="I1002" s="33" t="inlineStr">
        <is>
          <t>Smithsonian</t>
        </is>
      </c>
      <c r="J1002" s="35" t="n"/>
      <c r="K1002" s="33" t="inlineStr">
        <is>
          <t>Added Oct 2026. Spot check before this day goes live.</t>
        </is>
      </c>
      <c r="L1002" s="35">
        <f>COUNTIFS($A$2:$A$1501,A1002,$D$2:$D$1501,D1002)</f>
        <v/>
      </c>
    </row>
    <row r="1003">
      <c r="A1003" s="35" t="n">
        <v>201</v>
      </c>
      <c r="B1003" s="41" t="n">
        <v>46500</v>
      </c>
      <c r="C1003" s="35" t="n">
        <v>2</v>
      </c>
      <c r="D1003" s="33" t="inlineStr">
        <is>
          <t>Space and Science</t>
        </is>
      </c>
      <c r="E1003" s="36" t="inlineStr">
        <is>
          <t>How many Earth years does Uranus take to orbit the Sun?</t>
        </is>
      </c>
      <c r="F1003" s="42" t="n">
        <v>84</v>
      </c>
      <c r="G1003" s="33" t="inlineStr">
        <is>
          <t>years</t>
        </is>
      </c>
      <c r="H1003" s="35" t="inlineStr">
        <is>
          <t>Medium</t>
        </is>
      </c>
      <c r="I1003" s="33" t="inlineStr">
        <is>
          <t>NASA</t>
        </is>
      </c>
      <c r="J1003" s="35" t="n"/>
      <c r="K1003" s="33" t="inlineStr">
        <is>
          <t>Added Oct 2026. Spot check before this day goes live.</t>
        </is>
      </c>
      <c r="L1003" s="35">
        <f>COUNTIFS($A$2:$A$1501,A1003,$D$2:$D$1501,D1003)</f>
        <v/>
      </c>
    </row>
    <row r="1004">
      <c r="A1004" s="35" t="n">
        <v>201</v>
      </c>
      <c r="B1004" s="41" t="n">
        <v>46500</v>
      </c>
      <c r="C1004" s="35" t="n">
        <v>3</v>
      </c>
      <c r="D1004" s="33" t="inlineStr">
        <is>
          <t>Canada</t>
        </is>
      </c>
      <c r="E1004" s="36" t="inlineStr">
        <is>
          <t>How big is Baffin Island, Canada's largest island?</t>
        </is>
      </c>
      <c r="F1004" s="42" t="n">
        <v>507451</v>
      </c>
      <c r="G1004" s="33" t="inlineStr">
        <is>
          <t>km²</t>
        </is>
      </c>
      <c r="H1004" s="35" t="inlineStr">
        <is>
          <t>Hard</t>
        </is>
      </c>
      <c r="I1004" s="33" t="inlineStr">
        <is>
          <t>Natural Resources Canada</t>
        </is>
      </c>
      <c r="J1004" s="35" t="n"/>
      <c r="K1004" s="33" t="inlineStr">
        <is>
          <t>Added Oct 2026. Spot check before this day goes live.</t>
        </is>
      </c>
      <c r="L1004" s="35">
        <f>COUNTIFS($A$2:$A$1501,A1004,$D$2:$D$1501,D1004)</f>
        <v/>
      </c>
    </row>
    <row r="1005">
      <c r="A1005" s="35" t="n">
        <v>201</v>
      </c>
      <c r="B1005" s="41" t="n">
        <v>46500</v>
      </c>
      <c r="C1005" s="35" t="n">
        <v>4</v>
      </c>
      <c r="D1005" s="33" t="inlineStr">
        <is>
          <t>Food and Everyday Life</t>
        </is>
      </c>
      <c r="E1005" s="36" t="inlineStr">
        <is>
          <t>How many calories are in a tablespoon of olive oil?</t>
        </is>
      </c>
      <c r="F1005" s="42" t="n">
        <v>119</v>
      </c>
      <c r="G1005" s="33" t="inlineStr">
        <is>
          <t>calories</t>
        </is>
      </c>
      <c r="H1005" s="35" t="inlineStr">
        <is>
          <t>Hard</t>
        </is>
      </c>
      <c r="I1005" s="33" t="inlineStr">
        <is>
          <t>USDA FoodData Central</t>
        </is>
      </c>
      <c r="J1005" s="35" t="n"/>
      <c r="K1005" s="33" t="inlineStr">
        <is>
          <t>Added Oct 2026. Spot check before this day goes live.</t>
        </is>
      </c>
      <c r="L1005" s="35">
        <f>COUNTIFS($A$2:$A$1501,A1005,$D$2:$D$1501,D1005)</f>
        <v/>
      </c>
    </row>
    <row r="1006">
      <c r="A1006" s="35" t="n">
        <v>201</v>
      </c>
      <c r="B1006" s="41" t="n">
        <v>46500</v>
      </c>
      <c r="C1006" s="35" t="n">
        <v>5</v>
      </c>
      <c r="D1006" s="33" t="inlineStr">
        <is>
          <t>Distance of the Day</t>
        </is>
      </c>
      <c r="E1006" s="36" t="inlineStr">
        <is>
          <t>How far is it in a straight line from Ottawa to Saskatoon?</t>
        </is>
      </c>
      <c r="F1006" s="42" t="n">
        <v>2370</v>
      </c>
      <c r="G1006" s="33" t="inlineStr">
        <is>
          <t>km</t>
        </is>
      </c>
      <c r="H1006" s="35" t="inlineStr">
        <is>
          <t>Medium</t>
        </is>
      </c>
      <c r="I1006" s="33" t="inlineStr">
        <is>
          <t>Computed great-circle distance (city centre to city centre)</t>
        </is>
      </c>
      <c r="J1006" s="35" t="n"/>
      <c r="K1006" s="33" t="n"/>
      <c r="L1006" s="35">
        <f>COUNTIFS($A$2:$A$1501,A1006,$D$2:$D$1501,D1006)</f>
        <v/>
      </c>
    </row>
    <row r="1007">
      <c r="A1007" s="35" t="n">
        <v>202</v>
      </c>
      <c r="B1007" s="41" t="n">
        <v>46501</v>
      </c>
      <c r="C1007" s="35" t="n">
        <v>1</v>
      </c>
      <c r="D1007" s="33" t="inlineStr">
        <is>
          <t>Movies, Music and Games</t>
        </is>
      </c>
      <c r="E1007" s="36" t="inlineStr">
        <is>
          <t>How many seasons of The Office (US) were made?</t>
        </is>
      </c>
      <c r="F1007" s="42" t="n">
        <v>9</v>
      </c>
      <c r="G1007" s="33" t="inlineStr">
        <is>
          <t>seasons</t>
        </is>
      </c>
      <c r="H1007" s="35" t="inlineStr">
        <is>
          <t>Easy</t>
        </is>
      </c>
      <c r="I1007" s="33" t="inlineStr">
        <is>
          <t>NBC</t>
        </is>
      </c>
      <c r="J1007" s="35" t="n"/>
      <c r="K1007" s="33" t="inlineStr">
        <is>
          <t>Added Oct 2026. Spot check before this day goes live.</t>
        </is>
      </c>
      <c r="L1007" s="35">
        <f>COUNTIFS($A$2:$A$1501,A1007,$D$2:$D$1501,D1007)</f>
        <v/>
      </c>
    </row>
    <row r="1008">
      <c r="A1008" s="35" t="n">
        <v>202</v>
      </c>
      <c r="B1008" s="41" t="n">
        <v>46501</v>
      </c>
      <c r="C1008" s="35" t="n">
        <v>2</v>
      </c>
      <c r="D1008" s="33" t="inlineStr">
        <is>
          <t>Buildings and Engineering</t>
        </is>
      </c>
      <c r="E1008" s="36" t="inlineStr">
        <is>
          <t>How tall is Taipei 101?</t>
        </is>
      </c>
      <c r="F1008" s="42" t="n">
        <v>508</v>
      </c>
      <c r="G1008" s="33" t="inlineStr">
        <is>
          <t>metres</t>
        </is>
      </c>
      <c r="H1008" s="35" t="inlineStr">
        <is>
          <t>Medium</t>
        </is>
      </c>
      <c r="I1008" s="33" t="inlineStr">
        <is>
          <t>CTBUH</t>
        </is>
      </c>
      <c r="J1008" s="35" t="n"/>
      <c r="K1008" s="33" t="inlineStr">
        <is>
          <t>Added Oct 2026. Spot check before this day goes live.</t>
        </is>
      </c>
      <c r="L1008" s="35">
        <f>COUNTIFS($A$2:$A$1501,A1008,$D$2:$D$1501,D1008)</f>
        <v/>
      </c>
    </row>
    <row r="1009">
      <c r="A1009" s="35" t="n">
        <v>202</v>
      </c>
      <c r="B1009" s="41" t="n">
        <v>46501</v>
      </c>
      <c r="C1009" s="35" t="n">
        <v>3</v>
      </c>
      <c r="D1009" s="33" t="inlineStr">
        <is>
          <t>Sports</t>
        </is>
      </c>
      <c r="E1009" s="36" t="inlineStr">
        <is>
          <t>How many major golf championships has Tiger Woods won?</t>
        </is>
      </c>
      <c r="F1009" s="42" t="n">
        <v>15</v>
      </c>
      <c r="G1009" s="33" t="inlineStr">
        <is>
          <t>majors</t>
        </is>
      </c>
      <c r="H1009" s="35" t="inlineStr">
        <is>
          <t>Medium</t>
        </is>
      </c>
      <c r="I1009" s="33" t="inlineStr">
        <is>
          <t>PGA Tour</t>
        </is>
      </c>
      <c r="J1009" s="35" t="n"/>
      <c r="K1009" s="33" t="inlineStr">
        <is>
          <t>Added Oct 2026. Spot check before this day goes live.</t>
        </is>
      </c>
      <c r="L1009" s="35">
        <f>COUNTIFS($A$2:$A$1501,A1009,$D$2:$D$1501,D1009)</f>
        <v/>
      </c>
    </row>
    <row r="1010">
      <c r="A1010" s="35" t="n">
        <v>202</v>
      </c>
      <c r="B1010" s="41" t="n">
        <v>46501</v>
      </c>
      <c r="C1010" s="35" t="n">
        <v>4</v>
      </c>
      <c r="D1010" s="33" t="inlineStr">
        <is>
          <t>History</t>
        </is>
      </c>
      <c r="E1010" s="36" t="inlineStr">
        <is>
          <t>How far did the Wright brothers' first powered flight travel?</t>
        </is>
      </c>
      <c r="F1010" s="42" t="n">
        <v>37</v>
      </c>
      <c r="G1010" s="33" t="inlineStr">
        <is>
          <t>metres</t>
        </is>
      </c>
      <c r="H1010" s="35" t="inlineStr">
        <is>
          <t>Hard</t>
        </is>
      </c>
      <c r="I1010" s="33" t="inlineStr">
        <is>
          <t>Smithsonian</t>
        </is>
      </c>
      <c r="J1010" s="35" t="n"/>
      <c r="K1010" s="33" t="inlineStr">
        <is>
          <t>Added Oct 2026. Spot check before this day goes live.</t>
        </is>
      </c>
      <c r="L1010" s="35">
        <f>COUNTIFS($A$2:$A$1501,A1010,$D$2:$D$1501,D1010)</f>
        <v/>
      </c>
    </row>
    <row r="1011">
      <c r="A1011" s="35" t="n">
        <v>202</v>
      </c>
      <c r="B1011" s="41" t="n">
        <v>46501</v>
      </c>
      <c r="C1011" s="35" t="n">
        <v>5</v>
      </c>
      <c r="D1011" s="33" t="inlineStr">
        <is>
          <t>Distance of the Day</t>
        </is>
      </c>
      <c r="E1011" s="36" t="inlineStr">
        <is>
          <t>How far is it in a straight line from Windsor to Athens?</t>
        </is>
      </c>
      <c r="F1011" s="42" t="n">
        <v>8420</v>
      </c>
      <c r="G1011" s="33" t="inlineStr">
        <is>
          <t>km</t>
        </is>
      </c>
      <c r="H1011" s="35" t="inlineStr">
        <is>
          <t>Hard</t>
        </is>
      </c>
      <c r="I1011" s="33" t="inlineStr">
        <is>
          <t>Computed great-circle distance (city centre to city centre)</t>
        </is>
      </c>
      <c r="J1011" s="35" t="n"/>
      <c r="K1011" s="33" t="n"/>
      <c r="L1011" s="35">
        <f>COUNTIFS($A$2:$A$1501,A1011,$D$2:$D$1501,D1011)</f>
        <v/>
      </c>
    </row>
    <row r="1012">
      <c r="A1012" s="35" t="n">
        <v>203</v>
      </c>
      <c r="B1012" s="41" t="n">
        <v>46502</v>
      </c>
      <c r="C1012" s="35" t="n">
        <v>1</v>
      </c>
      <c r="D1012" s="33" t="inlineStr">
        <is>
          <t>Space and Science</t>
        </is>
      </c>
      <c r="E1012" s="36" t="inlineStr">
        <is>
          <t>How many colours are in a rainbow, traditionally?</t>
        </is>
      </c>
      <c r="F1012" s="42" t="n">
        <v>7</v>
      </c>
      <c r="G1012" s="33" t="inlineStr">
        <is>
          <t>colours</t>
        </is>
      </c>
      <c r="H1012" s="35" t="inlineStr">
        <is>
          <t>Easy</t>
        </is>
      </c>
      <c r="I1012" s="33" t="inlineStr">
        <is>
          <t>Britannica</t>
        </is>
      </c>
      <c r="J1012" s="35" t="n"/>
      <c r="K1012" s="33" t="inlineStr">
        <is>
          <t>Added Oct 2026. Spot check before this day goes live.</t>
        </is>
      </c>
      <c r="L1012" s="35">
        <f>COUNTIFS($A$2:$A$1501,A1012,$D$2:$D$1501,D1012)</f>
        <v/>
      </c>
    </row>
    <row r="1013">
      <c r="A1013" s="35" t="n">
        <v>203</v>
      </c>
      <c r="B1013" s="41" t="n">
        <v>46502</v>
      </c>
      <c r="C1013" s="35" t="n">
        <v>2</v>
      </c>
      <c r="D1013" s="33" t="inlineStr">
        <is>
          <t>Canada</t>
        </is>
      </c>
      <c r="E1013" s="36" t="inlineStr">
        <is>
          <t>How long is the Icefields Parkway between Lake Louise and Jasper?</t>
        </is>
      </c>
      <c r="F1013" s="42" t="n">
        <v>232</v>
      </c>
      <c r="G1013" s="33" t="inlineStr">
        <is>
          <t>km</t>
        </is>
      </c>
      <c r="H1013" s="35" t="inlineStr">
        <is>
          <t>Medium</t>
        </is>
      </c>
      <c r="I1013" s="33" t="inlineStr">
        <is>
          <t>Parks Canada</t>
        </is>
      </c>
      <c r="J1013" s="35" t="n"/>
      <c r="K1013" s="33" t="inlineStr">
        <is>
          <t>Added Oct 2026. Spot check before this day goes live.</t>
        </is>
      </c>
      <c r="L1013" s="35">
        <f>COUNTIFS($A$2:$A$1501,A1013,$D$2:$D$1501,D1013)</f>
        <v/>
      </c>
    </row>
    <row r="1014">
      <c r="A1014" s="35" t="n">
        <v>203</v>
      </c>
      <c r="B1014" s="41" t="n">
        <v>46502</v>
      </c>
      <c r="C1014" s="35" t="n">
        <v>3</v>
      </c>
      <c r="D1014" s="33" t="inlineStr">
        <is>
          <t>Geography</t>
        </is>
      </c>
      <c r="E1014" s="36" t="inlineStr">
        <is>
          <t>How high above sea level is Mexico City?</t>
        </is>
      </c>
      <c r="F1014" s="42" t="n">
        <v>2240</v>
      </c>
      <c r="G1014" s="33" t="inlineStr">
        <is>
          <t>metres</t>
        </is>
      </c>
      <c r="H1014" s="35" t="inlineStr">
        <is>
          <t>Hard</t>
        </is>
      </c>
      <c r="I1014" s="33" t="inlineStr">
        <is>
          <t>Britannica</t>
        </is>
      </c>
      <c r="J1014" s="35" t="n"/>
      <c r="K1014" s="33" t="inlineStr">
        <is>
          <t>Added Oct 2026. Spot check before this day goes live.</t>
        </is>
      </c>
      <c r="L1014" s="35">
        <f>COUNTIFS($A$2:$A$1501,A1014,$D$2:$D$1501,D1014)</f>
        <v/>
      </c>
    </row>
    <row r="1015">
      <c r="A1015" s="35" t="n">
        <v>203</v>
      </c>
      <c r="B1015" s="41" t="n">
        <v>46502</v>
      </c>
      <c r="C1015" s="35" t="n">
        <v>4</v>
      </c>
      <c r="D1015" s="33" t="inlineStr">
        <is>
          <t>Animals and Nature</t>
        </is>
      </c>
      <c r="E1015" s="36" t="inlineStr">
        <is>
          <t>How wide was the largest hailstone ever recorded in North America?</t>
        </is>
      </c>
      <c r="F1015" s="42" t="n">
        <v>20</v>
      </c>
      <c r="G1015" s="33" t="inlineStr">
        <is>
          <t>cm</t>
        </is>
      </c>
      <c r="H1015" s="35" t="inlineStr">
        <is>
          <t>Hard</t>
        </is>
      </c>
      <c r="I1015" s="33" t="inlineStr">
        <is>
          <t>NOAA</t>
        </is>
      </c>
      <c r="J1015" s="35" t="n"/>
      <c r="K1015" s="33" t="inlineStr">
        <is>
          <t>Added Oct 2026. Spot check before this day goes live.</t>
        </is>
      </c>
      <c r="L1015" s="35">
        <f>COUNTIFS($A$2:$A$1501,A1015,$D$2:$D$1501,D1015)</f>
        <v/>
      </c>
    </row>
    <row r="1016">
      <c r="A1016" s="35" t="n">
        <v>203</v>
      </c>
      <c r="B1016" s="41" t="n">
        <v>46502</v>
      </c>
      <c r="C1016" s="35" t="n">
        <v>5</v>
      </c>
      <c r="D1016" s="33" t="inlineStr">
        <is>
          <t>Distance of the Day</t>
        </is>
      </c>
      <c r="E1016" s="36" t="inlineStr">
        <is>
          <t>How far is it in a straight line from Saskatoon to Denver?</t>
        </is>
      </c>
      <c r="F1016" s="42" t="n">
        <v>1380</v>
      </c>
      <c r="G1016" s="33" t="inlineStr">
        <is>
          <t>km</t>
        </is>
      </c>
      <c r="H1016" s="35" t="inlineStr">
        <is>
          <t>Easy</t>
        </is>
      </c>
      <c r="I1016" s="33" t="inlineStr">
        <is>
          <t>Computed great-circle distance (city centre to city centre)</t>
        </is>
      </c>
      <c r="J1016" s="35" t="n"/>
      <c r="K1016" s="33" t="n"/>
      <c r="L1016" s="35">
        <f>COUNTIFS($A$2:$A$1501,A1016,$D$2:$D$1501,D1016)</f>
        <v/>
      </c>
    </row>
    <row r="1017">
      <c r="A1017" s="35" t="n">
        <v>204</v>
      </c>
      <c r="B1017" s="41" t="n">
        <v>46503</v>
      </c>
      <c r="C1017" s="35" t="n">
        <v>1</v>
      </c>
      <c r="D1017" s="33" t="inlineStr">
        <is>
          <t>Movies, Music and Games</t>
        </is>
      </c>
      <c r="E1017" s="36" t="inlineStr">
        <is>
          <t>How long is The Empire Strikes Back?</t>
        </is>
      </c>
      <c r="F1017" s="42" t="n">
        <v>124</v>
      </c>
      <c r="G1017" s="33" t="inlineStr">
        <is>
          <t>minutes</t>
        </is>
      </c>
      <c r="H1017" s="35" t="inlineStr">
        <is>
          <t>Medium</t>
        </is>
      </c>
      <c r="I1017" s="33" t="inlineStr">
        <is>
          <t>IMDb</t>
        </is>
      </c>
      <c r="J1017" s="35" t="n"/>
      <c r="K1017" s="33" t="inlineStr">
        <is>
          <t>Added Oct 2026. Spot check before this day goes live.</t>
        </is>
      </c>
      <c r="L1017" s="35">
        <f>COUNTIFS($A$2:$A$1501,A1017,$D$2:$D$1501,D1017)</f>
        <v/>
      </c>
    </row>
    <row r="1018">
      <c r="A1018" s="35" t="n">
        <v>204</v>
      </c>
      <c r="B1018" s="41" t="n">
        <v>46503</v>
      </c>
      <c r="C1018" s="35" t="n">
        <v>2</v>
      </c>
      <c r="D1018" s="33" t="inlineStr">
        <is>
          <t>Human Body</t>
        </is>
      </c>
      <c r="E1018" s="36" t="inlineStr">
        <is>
          <t>How long is the esophagus?</t>
        </is>
      </c>
      <c r="F1018" s="42" t="n">
        <v>25</v>
      </c>
      <c r="G1018" s="33" t="inlineStr">
        <is>
          <t>cm</t>
        </is>
      </c>
      <c r="H1018" s="35" t="inlineStr">
        <is>
          <t>Medium</t>
        </is>
      </c>
      <c r="I1018" s="33" t="inlineStr">
        <is>
          <t>Cleveland Clinic</t>
        </is>
      </c>
      <c r="J1018" s="35" t="n"/>
      <c r="K1018" s="33" t="inlineStr">
        <is>
          <t>Added Oct 2026. Spot check before this day goes live.</t>
        </is>
      </c>
      <c r="L1018" s="35">
        <f>COUNTIFS($A$2:$A$1501,A1018,$D$2:$D$1501,D1018)</f>
        <v/>
      </c>
    </row>
    <row r="1019">
      <c r="A1019" s="35" t="n">
        <v>204</v>
      </c>
      <c r="B1019" s="41" t="n">
        <v>46503</v>
      </c>
      <c r="C1019" s="35" t="n">
        <v>3</v>
      </c>
      <c r="D1019" s="33" t="inlineStr">
        <is>
          <t>Food and Everyday Life</t>
        </is>
      </c>
      <c r="E1019" s="36" t="inlineStr">
        <is>
          <t>How heavy is a US gallon of milk?</t>
        </is>
      </c>
      <c r="F1019" s="42" t="n">
        <v>3.9</v>
      </c>
      <c r="G1019" s="33" t="inlineStr">
        <is>
          <t>kg</t>
        </is>
      </c>
      <c r="H1019" s="35" t="inlineStr">
        <is>
          <t>Hard</t>
        </is>
      </c>
      <c r="I1019" s="33" t="inlineStr">
        <is>
          <t>USDA</t>
        </is>
      </c>
      <c r="J1019" s="35" t="n"/>
      <c r="K1019" s="33" t="inlineStr">
        <is>
          <t>Added Oct 2026. Spot check before this day goes live.</t>
        </is>
      </c>
      <c r="L1019" s="35">
        <f>COUNTIFS($A$2:$A$1501,A1019,$D$2:$D$1501,D1019)</f>
        <v/>
      </c>
    </row>
    <row r="1020">
      <c r="A1020" s="35" t="n">
        <v>204</v>
      </c>
      <c r="B1020" s="41" t="n">
        <v>46503</v>
      </c>
      <c r="C1020" s="35" t="n">
        <v>4</v>
      </c>
      <c r="D1020" s="33" t="inlineStr">
        <is>
          <t>History</t>
        </is>
      </c>
      <c r="E1020" s="36" t="inlineStr">
        <is>
          <t>How big was the Mongol Empire at its peak?</t>
        </is>
      </c>
      <c r="F1020" s="42" t="n">
        <v>24</v>
      </c>
      <c r="G1020" s="33" t="inlineStr">
        <is>
          <t>million km²</t>
        </is>
      </c>
      <c r="H1020" s="35" t="inlineStr">
        <is>
          <t>Hard</t>
        </is>
      </c>
      <c r="I1020" s="33" t="inlineStr">
        <is>
          <t>Britannica</t>
        </is>
      </c>
      <c r="J1020" s="35" t="n"/>
      <c r="K1020" s="33" t="inlineStr">
        <is>
          <t>Added Oct 2026. Spot check before this day goes live.</t>
        </is>
      </c>
      <c r="L1020" s="35">
        <f>COUNTIFS($A$2:$A$1501,A1020,$D$2:$D$1501,D1020)</f>
        <v/>
      </c>
    </row>
    <row r="1021">
      <c r="A1021" s="35" t="n">
        <v>204</v>
      </c>
      <c r="B1021" s="41" t="n">
        <v>46503</v>
      </c>
      <c r="C1021" s="35" t="n">
        <v>5</v>
      </c>
      <c r="D1021" s="33" t="inlineStr">
        <is>
          <t>Distance of the Day</t>
        </is>
      </c>
      <c r="E1021" s="36" t="inlineStr">
        <is>
          <t>How far is it in a straight line from Washington, D.C. to Warsaw?</t>
        </is>
      </c>
      <c r="F1021" s="42" t="n">
        <v>7180</v>
      </c>
      <c r="G1021" s="33" t="inlineStr">
        <is>
          <t>km</t>
        </is>
      </c>
      <c r="H1021" s="35" t="inlineStr">
        <is>
          <t>Medium</t>
        </is>
      </c>
      <c r="I1021" s="33" t="inlineStr">
        <is>
          <t>Computed great-circle distance (city centre to city centre)</t>
        </is>
      </c>
      <c r="J1021" s="35" t="n"/>
      <c r="K1021" s="33" t="n"/>
      <c r="L1021" s="35">
        <f>COUNTIFS($A$2:$A$1501,A1021,$D$2:$D$1501,D1021)</f>
        <v/>
      </c>
    </row>
    <row r="1022">
      <c r="A1022" s="35" t="n">
        <v>205</v>
      </c>
      <c r="B1022" s="41" t="n">
        <v>46504</v>
      </c>
      <c r="C1022" s="35" t="n">
        <v>1</v>
      </c>
      <c r="D1022" s="33" t="inlineStr">
        <is>
          <t>Buildings and Engineering</t>
        </is>
      </c>
      <c r="E1022" s="36" t="inlineStr">
        <is>
          <t>How many towers does Tower Bridge in London have?</t>
        </is>
      </c>
      <c r="F1022" s="42" t="n">
        <v>2</v>
      </c>
      <c r="G1022" s="33" t="inlineStr">
        <is>
          <t>towers</t>
        </is>
      </c>
      <c r="H1022" s="35" t="inlineStr">
        <is>
          <t>Easy</t>
        </is>
      </c>
      <c r="I1022" s="33" t="inlineStr">
        <is>
          <t>Tower Bridge</t>
        </is>
      </c>
      <c r="J1022" s="35" t="n"/>
      <c r="K1022" s="33" t="inlineStr">
        <is>
          <t>Added Oct 2026. Spot check before this day goes live.</t>
        </is>
      </c>
      <c r="L1022" s="35">
        <f>COUNTIFS($A$2:$A$1501,A1022,$D$2:$D$1501,D1022)</f>
        <v/>
      </c>
    </row>
    <row r="1023">
      <c r="A1023" s="35" t="n">
        <v>205</v>
      </c>
      <c r="B1023" s="41" t="n">
        <v>46504</v>
      </c>
      <c r="C1023" s="35" t="n">
        <v>2</v>
      </c>
      <c r="D1023" s="33" t="inlineStr">
        <is>
          <t>Canada</t>
        </is>
      </c>
      <c r="E1023" s="36" t="inlineStr">
        <is>
          <t>How many gold medals did Canada win at the Vancouver 2010 Winter Olympics?</t>
        </is>
      </c>
      <c r="F1023" s="42" t="n">
        <v>14</v>
      </c>
      <c r="G1023" s="33" t="inlineStr">
        <is>
          <t>gold medals</t>
        </is>
      </c>
      <c r="H1023" s="35" t="inlineStr">
        <is>
          <t>Medium</t>
        </is>
      </c>
      <c r="I1023" s="33" t="inlineStr">
        <is>
          <t>Canadian Olympic Committee</t>
        </is>
      </c>
      <c r="J1023" s="35" t="n"/>
      <c r="K1023" s="33" t="inlineStr">
        <is>
          <t>Added Oct 2026. Spot check before this day goes live.</t>
        </is>
      </c>
      <c r="L1023" s="35">
        <f>COUNTIFS($A$2:$A$1501,A1023,$D$2:$D$1501,D1023)</f>
        <v/>
      </c>
    </row>
    <row r="1024">
      <c r="A1024" s="35" t="n">
        <v>205</v>
      </c>
      <c r="B1024" s="41" t="n">
        <v>46504</v>
      </c>
      <c r="C1024" s="35" t="n">
        <v>3</v>
      </c>
      <c r="D1024" s="33" t="inlineStr">
        <is>
          <t>Geography</t>
        </is>
      </c>
      <c r="E1024" s="36" t="inlineStr">
        <is>
          <t>How long is the Andes mountain range?</t>
        </is>
      </c>
      <c r="F1024" s="42" t="n">
        <v>7000</v>
      </c>
      <c r="G1024" s="33" t="inlineStr">
        <is>
          <t>km</t>
        </is>
      </c>
      <c r="H1024" s="35" t="inlineStr">
        <is>
          <t>Medium</t>
        </is>
      </c>
      <c r="I1024" s="33" t="inlineStr">
        <is>
          <t>Britannica</t>
        </is>
      </c>
      <c r="J1024" s="35" t="n"/>
      <c r="K1024" s="33" t="inlineStr">
        <is>
          <t>Added Oct 2026. Spot check before this day goes live.</t>
        </is>
      </c>
      <c r="L1024" s="35">
        <f>COUNTIFS($A$2:$A$1501,A1024,$D$2:$D$1501,D1024)</f>
        <v/>
      </c>
    </row>
    <row r="1025">
      <c r="A1025" s="35" t="n">
        <v>205</v>
      </c>
      <c r="B1025" s="41" t="n">
        <v>46504</v>
      </c>
      <c r="C1025" s="35" t="n">
        <v>4</v>
      </c>
      <c r="D1025" s="33" t="inlineStr">
        <is>
          <t>Animals and Nature</t>
        </is>
      </c>
      <c r="E1025" s="36" t="inlineStr">
        <is>
          <t>How long did a Cuvier's beaked whale hold its breath in the record dive?</t>
        </is>
      </c>
      <c r="F1025" s="42" t="n">
        <v>222</v>
      </c>
      <c r="G1025" s="33" t="inlineStr">
        <is>
          <t>minutes</t>
        </is>
      </c>
      <c r="H1025" s="35" t="inlineStr">
        <is>
          <t>Hard</t>
        </is>
      </c>
      <c r="I1025" s="33" t="inlineStr">
        <is>
          <t>Journal of Experimental Biology</t>
        </is>
      </c>
      <c r="J1025" s="35" t="n"/>
      <c r="K1025" s="33" t="inlineStr">
        <is>
          <t>Added Oct 2026. Spot check before this day goes live.</t>
        </is>
      </c>
      <c r="L1025" s="35">
        <f>COUNTIFS($A$2:$A$1501,A1025,$D$2:$D$1501,D1025)</f>
        <v/>
      </c>
    </row>
    <row r="1026">
      <c r="A1026" s="35" t="n">
        <v>205</v>
      </c>
      <c r="B1026" s="41" t="n">
        <v>46504</v>
      </c>
      <c r="C1026" s="35" t="n">
        <v>5</v>
      </c>
      <c r="D1026" s="33" t="inlineStr">
        <is>
          <t>Distance of the Day</t>
        </is>
      </c>
      <c r="E1026" s="36" t="inlineStr">
        <is>
          <t>How far is it in a straight line from Hamilton to Sydney?</t>
        </is>
      </c>
      <c r="F1026" s="42" t="n">
        <v>15530</v>
      </c>
      <c r="G1026" s="33" t="inlineStr">
        <is>
          <t>km</t>
        </is>
      </c>
      <c r="H1026" s="35" t="inlineStr">
        <is>
          <t>Hard</t>
        </is>
      </c>
      <c r="I1026" s="33" t="inlineStr">
        <is>
          <t>Computed great-circle distance (city centre to city centre)</t>
        </is>
      </c>
      <c r="J1026" s="35" t="n"/>
      <c r="K1026" s="33" t="n"/>
      <c r="L1026" s="35">
        <f>COUNTIFS($A$2:$A$1501,A1026,$D$2:$D$1501,D1026)</f>
        <v/>
      </c>
    </row>
    <row r="1027">
      <c r="A1027" s="35" t="n">
        <v>206</v>
      </c>
      <c r="B1027" s="41" t="n">
        <v>46505</v>
      </c>
      <c r="C1027" s="35" t="n">
        <v>1</v>
      </c>
      <c r="D1027" s="33" t="inlineStr">
        <is>
          <t>Movies, Music and Games</t>
        </is>
      </c>
      <c r="E1027" s="36" t="inlineStr">
        <is>
          <t>How many Harry Potter films were made?</t>
        </is>
      </c>
      <c r="F1027" s="42" t="n">
        <v>8</v>
      </c>
      <c r="G1027" s="33" t="inlineStr">
        <is>
          <t>films</t>
        </is>
      </c>
      <c r="H1027" s="35" t="inlineStr">
        <is>
          <t>Easy</t>
        </is>
      </c>
      <c r="I1027" s="33" t="inlineStr">
        <is>
          <t>Warner Bros.</t>
        </is>
      </c>
      <c r="J1027" s="35" t="n"/>
      <c r="K1027" s="33" t="inlineStr">
        <is>
          <t>Added Oct 2026. Spot check before this day goes live.</t>
        </is>
      </c>
      <c r="L1027" s="35">
        <f>COUNTIFS($A$2:$A$1501,A1027,$D$2:$D$1501,D1027)</f>
        <v/>
      </c>
    </row>
    <row r="1028">
      <c r="A1028" s="35" t="n">
        <v>206</v>
      </c>
      <c r="B1028" s="41" t="n">
        <v>46505</v>
      </c>
      <c r="C1028" s="35" t="n">
        <v>2</v>
      </c>
      <c r="D1028" s="33" t="inlineStr">
        <is>
          <t>Sports</t>
        </is>
      </c>
      <c r="E1028" s="36" t="inlineStr">
        <is>
          <t>How fast did Usain Bolt run his 200 m world record?</t>
        </is>
      </c>
      <c r="F1028" s="42" t="n">
        <v>19.19</v>
      </c>
      <c r="G1028" s="33" t="inlineStr">
        <is>
          <t>seconds</t>
        </is>
      </c>
      <c r="H1028" s="35" t="inlineStr">
        <is>
          <t>Medium</t>
        </is>
      </c>
      <c r="I1028" s="33" t="inlineStr">
        <is>
          <t>World Athletics</t>
        </is>
      </c>
      <c r="J1028" s="35" t="n"/>
      <c r="K1028" s="33" t="inlineStr">
        <is>
          <t>Added Oct 2026. Spot check before this day goes live.</t>
        </is>
      </c>
      <c r="L1028" s="35">
        <f>COUNTIFS($A$2:$A$1501,A1028,$D$2:$D$1501,D1028)</f>
        <v/>
      </c>
    </row>
    <row r="1029">
      <c r="A1029" s="35" t="n">
        <v>206</v>
      </c>
      <c r="B1029" s="41" t="n">
        <v>46505</v>
      </c>
      <c r="C1029" s="35" t="n">
        <v>3</v>
      </c>
      <c r="D1029" s="33" t="inlineStr">
        <is>
          <t>Food and Everyday Life</t>
        </is>
      </c>
      <c r="E1029" s="36" t="inlineStr">
        <is>
          <t>How many varieties of potato are there?</t>
        </is>
      </c>
      <c r="F1029" s="42" t="n">
        <v>4000</v>
      </c>
      <c r="G1029" s="33" t="inlineStr">
        <is>
          <t>varieties</t>
        </is>
      </c>
      <c r="H1029" s="35" t="inlineStr">
        <is>
          <t>Hard</t>
        </is>
      </c>
      <c r="I1029" s="33" t="inlineStr">
        <is>
          <t>International Potato Center</t>
        </is>
      </c>
      <c r="J1029" s="35" t="n"/>
      <c r="K1029" s="33" t="inlineStr">
        <is>
          <t>Added Oct 2026. Spot check before this day goes live.</t>
        </is>
      </c>
      <c r="L1029" s="35">
        <f>COUNTIFS($A$2:$A$1501,A1029,$D$2:$D$1501,D1029)</f>
        <v/>
      </c>
    </row>
    <row r="1030">
      <c r="A1030" s="35" t="n">
        <v>206</v>
      </c>
      <c r="B1030" s="41" t="n">
        <v>46505</v>
      </c>
      <c r="C1030" s="35" t="n">
        <v>4</v>
      </c>
      <c r="D1030" s="33" t="inlineStr">
        <is>
          <t>Space and Science</t>
        </is>
      </c>
      <c r="E1030" s="36" t="inlineStr">
        <is>
          <t>How cold was the lowest temperature ever recorded on Earth, at Vostok Station in Antarctica?</t>
        </is>
      </c>
      <c r="F1030" s="42" t="n">
        <v>89.2</v>
      </c>
      <c r="G1030" s="33" t="inlineStr">
        <is>
          <t>°C below zero</t>
        </is>
      </c>
      <c r="H1030" s="35" t="inlineStr">
        <is>
          <t>Hard</t>
        </is>
      </c>
      <c r="I1030" s="33" t="inlineStr">
        <is>
          <t>World Meteorological Organization</t>
        </is>
      </c>
      <c r="J1030" s="35" t="n"/>
      <c r="K1030" s="33" t="inlineStr">
        <is>
          <t>Added Oct 2026. Spot check before this day goes live.</t>
        </is>
      </c>
      <c r="L1030" s="35">
        <f>COUNTIFS($A$2:$A$1501,A1030,$D$2:$D$1501,D1030)</f>
        <v/>
      </c>
    </row>
    <row r="1031">
      <c r="A1031" s="35" t="n">
        <v>206</v>
      </c>
      <c r="B1031" s="41" t="n">
        <v>46505</v>
      </c>
      <c r="C1031" s="35" t="n">
        <v>5</v>
      </c>
      <c r="D1031" s="33" t="inlineStr">
        <is>
          <t>Distance of the Day</t>
        </is>
      </c>
      <c r="E1031" s="36" t="inlineStr">
        <is>
          <t>How far is it in a straight line from Winnipeg to Madrid?</t>
        </is>
      </c>
      <c r="F1031" s="42" t="n">
        <v>6920</v>
      </c>
      <c r="G1031" s="33" t="inlineStr">
        <is>
          <t>km</t>
        </is>
      </c>
      <c r="H1031" s="35" t="inlineStr">
        <is>
          <t>Medium</t>
        </is>
      </c>
      <c r="I1031" s="33" t="inlineStr">
        <is>
          <t>Computed great-circle distance (city centre to city centre)</t>
        </is>
      </c>
      <c r="J1031" s="35" t="n"/>
      <c r="K1031" s="33" t="n"/>
      <c r="L1031" s="35">
        <f>COUNTIFS($A$2:$A$1501,A1031,$D$2:$D$1501,D1031)</f>
        <v/>
      </c>
    </row>
    <row r="1032">
      <c r="A1032" s="35" t="n">
        <v>207</v>
      </c>
      <c r="B1032" s="41" t="n">
        <v>46506</v>
      </c>
      <c r="C1032" s="35" t="n">
        <v>1</v>
      </c>
      <c r="D1032" s="33" t="inlineStr">
        <is>
          <t>Human Body</t>
        </is>
      </c>
      <c r="E1032" s="36" t="inlineStr">
        <is>
          <t>How wide is the human eyeball?</t>
        </is>
      </c>
      <c r="F1032" s="42" t="n">
        <v>24</v>
      </c>
      <c r="G1032" s="33" t="inlineStr">
        <is>
          <t>mm</t>
        </is>
      </c>
      <c r="H1032" s="35" t="inlineStr">
        <is>
          <t>Medium</t>
        </is>
      </c>
      <c r="I1032" s="33" t="inlineStr">
        <is>
          <t>American Academy of Ophthalmology</t>
        </is>
      </c>
      <c r="J1032" s="35" t="n"/>
      <c r="K1032" s="33" t="inlineStr">
        <is>
          <t>Added Oct 2026. Spot check before this day goes live.</t>
        </is>
      </c>
      <c r="L1032" s="35">
        <f>COUNTIFS($A$2:$A$1501,A1032,$D$2:$D$1501,D1032)</f>
        <v/>
      </c>
    </row>
    <row r="1033">
      <c r="A1033" s="35" t="n">
        <v>207</v>
      </c>
      <c r="B1033" s="41" t="n">
        <v>46506</v>
      </c>
      <c r="C1033" s="35" t="n">
        <v>2</v>
      </c>
      <c r="D1033" s="33" t="inlineStr">
        <is>
          <t>Geography</t>
        </is>
      </c>
      <c r="E1033" s="36" t="inlineStr">
        <is>
          <t>How long is the Appalachian Trail?</t>
        </is>
      </c>
      <c r="F1033" s="42" t="n">
        <v>3500</v>
      </c>
      <c r="G1033" s="33" t="inlineStr">
        <is>
          <t>km</t>
        </is>
      </c>
      <c r="H1033" s="35" t="inlineStr">
        <is>
          <t>Medium</t>
        </is>
      </c>
      <c r="I1033" s="33" t="inlineStr">
        <is>
          <t>Appalachian Trail Conservancy</t>
        </is>
      </c>
      <c r="J1033" s="35" t="n"/>
      <c r="K1033" s="33" t="inlineStr">
        <is>
          <t>Added Oct 2026. Spot check before this day goes live.</t>
        </is>
      </c>
      <c r="L1033" s="35">
        <f>COUNTIFS($A$2:$A$1501,A1033,$D$2:$D$1501,D1033)</f>
        <v/>
      </c>
    </row>
    <row r="1034">
      <c r="A1034" s="35" t="n">
        <v>207</v>
      </c>
      <c r="B1034" s="41" t="n">
        <v>46506</v>
      </c>
      <c r="C1034" s="35" t="n">
        <v>3</v>
      </c>
      <c r="D1034" s="33" t="inlineStr">
        <is>
          <t>History</t>
        </is>
      </c>
      <c r="E1034" s="36" t="inlineStr">
        <is>
          <t>How many days did the Siege of Leningrad last?</t>
        </is>
      </c>
      <c r="F1034" s="42" t="n">
        <v>872</v>
      </c>
      <c r="G1034" s="33" t="inlineStr">
        <is>
          <t>days</t>
        </is>
      </c>
      <c r="H1034" s="35" t="inlineStr">
        <is>
          <t>Hard</t>
        </is>
      </c>
      <c r="I1034" s="33" t="inlineStr">
        <is>
          <t>Britannica</t>
        </is>
      </c>
      <c r="J1034" s="35" t="n"/>
      <c r="K1034" s="33" t="inlineStr">
        <is>
          <t>Added Oct 2026. Spot check before this day goes live.</t>
        </is>
      </c>
      <c r="L1034" s="35">
        <f>COUNTIFS($A$2:$A$1501,A1034,$D$2:$D$1501,D1034)</f>
        <v/>
      </c>
    </row>
    <row r="1035">
      <c r="A1035" s="35" t="n">
        <v>207</v>
      </c>
      <c r="B1035" s="41" t="n">
        <v>46506</v>
      </c>
      <c r="C1035" s="35" t="n">
        <v>4</v>
      </c>
      <c r="D1035" s="33" t="inlineStr">
        <is>
          <t>Canada</t>
        </is>
      </c>
      <c r="E1035" s="36" t="inlineStr">
        <is>
          <t>How high above sea level is Lake Louise?</t>
        </is>
      </c>
      <c r="F1035" s="42" t="n">
        <v>1750</v>
      </c>
      <c r="G1035" s="33" t="inlineStr">
        <is>
          <t>metres</t>
        </is>
      </c>
      <c r="H1035" s="35" t="inlineStr">
        <is>
          <t>Hard</t>
        </is>
      </c>
      <c r="I1035" s="33" t="inlineStr">
        <is>
          <t>Parks Canada</t>
        </is>
      </c>
      <c r="J1035" s="35" t="n"/>
      <c r="K1035" s="33" t="inlineStr">
        <is>
          <t>Added Oct 2026. Spot check before this day goes live.</t>
        </is>
      </c>
      <c r="L1035" s="35">
        <f>COUNTIFS($A$2:$A$1501,A1035,$D$2:$D$1501,D1035)</f>
        <v/>
      </c>
    </row>
    <row r="1036">
      <c r="A1036" s="35" t="n">
        <v>207</v>
      </c>
      <c r="B1036" s="41" t="n">
        <v>46506</v>
      </c>
      <c r="C1036" s="35" t="n">
        <v>5</v>
      </c>
      <c r="D1036" s="33" t="inlineStr">
        <is>
          <t>Distance of the Day</t>
        </is>
      </c>
      <c r="E1036" s="36" t="inlineStr">
        <is>
          <t>How far is it in a straight line from Reykjavik to Edinburgh?</t>
        </is>
      </c>
      <c r="F1036" s="42" t="n">
        <v>1370</v>
      </c>
      <c r="G1036" s="33" t="inlineStr">
        <is>
          <t>km</t>
        </is>
      </c>
      <c r="H1036" s="35" t="inlineStr">
        <is>
          <t>Easy</t>
        </is>
      </c>
      <c r="I1036" s="33" t="inlineStr">
        <is>
          <t>Computed great-circle distance (city centre to city centre)</t>
        </is>
      </c>
      <c r="J1036" s="35" t="n"/>
      <c r="K1036" s="33" t="n"/>
      <c r="L1036" s="35">
        <f>COUNTIFS($A$2:$A$1501,A1036,$D$2:$D$1501,D1036)</f>
        <v/>
      </c>
    </row>
    <row r="1037">
      <c r="A1037" s="35" t="n">
        <v>208</v>
      </c>
      <c r="B1037" s="41" t="n">
        <v>46507</v>
      </c>
      <c r="C1037" s="35" t="n">
        <v>1</v>
      </c>
      <c r="D1037" s="33" t="inlineStr">
        <is>
          <t>Buildings and Engineering</t>
        </is>
      </c>
      <c r="E1037" s="36" t="inlineStr">
        <is>
          <t>How many traffic lanes does the Golden Gate Bridge have?</t>
        </is>
      </c>
      <c r="F1037" s="42" t="n">
        <v>6</v>
      </c>
      <c r="G1037" s="33" t="inlineStr">
        <is>
          <t>lanes</t>
        </is>
      </c>
      <c r="H1037" s="35" t="inlineStr">
        <is>
          <t>Easy</t>
        </is>
      </c>
      <c r="I1037" s="33" t="inlineStr">
        <is>
          <t>Golden Gate Bridge District</t>
        </is>
      </c>
      <c r="J1037" s="35" t="n"/>
      <c r="K1037" s="33" t="inlineStr">
        <is>
          <t>Added Oct 2026. Spot check before this day goes live.</t>
        </is>
      </c>
      <c r="L1037" s="35">
        <f>COUNTIFS($A$2:$A$1501,A1037,$D$2:$D$1501,D1037)</f>
        <v/>
      </c>
    </row>
    <row r="1038">
      <c r="A1038" s="35" t="n">
        <v>208</v>
      </c>
      <c r="B1038" s="41" t="n">
        <v>46507</v>
      </c>
      <c r="C1038" s="35" t="n">
        <v>2</v>
      </c>
      <c r="D1038" s="33" t="inlineStr">
        <is>
          <t>Sports</t>
        </is>
      </c>
      <c r="E1038" s="36" t="inlineStr">
        <is>
          <t>How many Wimbledon singles titles did Roger Federer win?</t>
        </is>
      </c>
      <c r="F1038" s="42" t="n">
        <v>8</v>
      </c>
      <c r="G1038" s="33" t="inlineStr">
        <is>
          <t>titles</t>
        </is>
      </c>
      <c r="H1038" s="35" t="inlineStr">
        <is>
          <t>Medium</t>
        </is>
      </c>
      <c r="I1038" s="33" t="inlineStr">
        <is>
          <t>ATP</t>
        </is>
      </c>
      <c r="J1038" s="35" t="n"/>
      <c r="K1038" s="33" t="inlineStr">
        <is>
          <t>Added Oct 2026. Spot check before this day goes live.</t>
        </is>
      </c>
      <c r="L1038" s="35">
        <f>COUNTIFS($A$2:$A$1501,A1038,$D$2:$D$1501,D1038)</f>
        <v/>
      </c>
    </row>
    <row r="1039">
      <c r="A1039" s="35" t="n">
        <v>208</v>
      </c>
      <c r="B1039" s="41" t="n">
        <v>46507</v>
      </c>
      <c r="C1039" s="35" t="n">
        <v>3</v>
      </c>
      <c r="D1039" s="33" t="inlineStr">
        <is>
          <t>Animals and Nature</t>
        </is>
      </c>
      <c r="E1039" s="36" t="inlineStr">
        <is>
          <t>How high can a flea jump?</t>
        </is>
      </c>
      <c r="F1039" s="42" t="n">
        <v>18</v>
      </c>
      <c r="G1039" s="33" t="inlineStr">
        <is>
          <t>cm</t>
        </is>
      </c>
      <c r="H1039" s="35" t="inlineStr">
        <is>
          <t>Medium</t>
        </is>
      </c>
      <c r="I1039" s="33" t="inlineStr">
        <is>
          <t>Britannica</t>
        </is>
      </c>
      <c r="J1039" s="35" t="n"/>
      <c r="K1039" s="33" t="inlineStr">
        <is>
          <t>Added Oct 2026. Spot check before this day goes live.</t>
        </is>
      </c>
      <c r="L1039" s="35">
        <f>COUNTIFS($A$2:$A$1501,A1039,$D$2:$D$1501,D1039)</f>
        <v/>
      </c>
    </row>
    <row r="1040">
      <c r="A1040" s="35" t="n">
        <v>208</v>
      </c>
      <c r="B1040" s="41" t="n">
        <v>46507</v>
      </c>
      <c r="C1040" s="35" t="n">
        <v>4</v>
      </c>
      <c r="D1040" s="33" t="inlineStr">
        <is>
          <t>Food and Everyday Life</t>
        </is>
      </c>
      <c r="E1040" s="36" t="inlineStr">
        <is>
          <t>How many grams of protein are in a large egg?</t>
        </is>
      </c>
      <c r="F1040" s="42" t="n">
        <v>6.3</v>
      </c>
      <c r="G1040" s="33" t="inlineStr">
        <is>
          <t>grams</t>
        </is>
      </c>
      <c r="H1040" s="35" t="inlineStr">
        <is>
          <t>Hard</t>
        </is>
      </c>
      <c r="I1040" s="33" t="inlineStr">
        <is>
          <t>USDA FoodData Central</t>
        </is>
      </c>
      <c r="J1040" s="35" t="n"/>
      <c r="K1040" s="33" t="inlineStr">
        <is>
          <t>Added Oct 2026. Spot check before this day goes live.</t>
        </is>
      </c>
      <c r="L1040" s="35">
        <f>COUNTIFS($A$2:$A$1501,A1040,$D$2:$D$1501,D1040)</f>
        <v/>
      </c>
    </row>
    <row r="1041">
      <c r="A1041" s="35" t="n">
        <v>208</v>
      </c>
      <c r="B1041" s="41" t="n">
        <v>46507</v>
      </c>
      <c r="C1041" s="35" t="n">
        <v>5</v>
      </c>
      <c r="D1041" s="33" t="inlineStr">
        <is>
          <t>Distance of the Day</t>
        </is>
      </c>
      <c r="E1041" s="36" t="inlineStr">
        <is>
          <t>How far is it in a straight line from Kelowna to Mexico City?</t>
        </is>
      </c>
      <c r="F1041" s="42" t="n">
        <v>3840</v>
      </c>
      <c r="G1041" s="33" t="inlineStr">
        <is>
          <t>km</t>
        </is>
      </c>
      <c r="H1041" s="35" t="inlineStr">
        <is>
          <t>Medium</t>
        </is>
      </c>
      <c r="I1041" s="33" t="inlineStr">
        <is>
          <t>Computed great-circle distance (city centre to city centre)</t>
        </is>
      </c>
      <c r="J1041" s="35" t="n"/>
      <c r="K1041" s="33" t="n"/>
      <c r="L1041" s="35">
        <f>COUNTIFS($A$2:$A$1501,A1041,$D$2:$D$1501,D1041)</f>
        <v/>
      </c>
    </row>
    <row r="1042">
      <c r="A1042" s="35" t="n">
        <v>209</v>
      </c>
      <c r="B1042" s="41" t="n">
        <v>46508</v>
      </c>
      <c r="C1042" s="35" t="n">
        <v>1</v>
      </c>
      <c r="D1042" s="33" t="inlineStr">
        <is>
          <t>Space and Science</t>
        </is>
      </c>
      <c r="E1042" s="36" t="inlineStr">
        <is>
          <t>How many astronauts were on each Apollo Moon mission?</t>
        </is>
      </c>
      <c r="F1042" s="42" t="n">
        <v>3</v>
      </c>
      <c r="G1042" s="33" t="inlineStr">
        <is>
          <t>astronauts</t>
        </is>
      </c>
      <c r="H1042" s="35" t="inlineStr">
        <is>
          <t>Easy</t>
        </is>
      </c>
      <c r="I1042" s="33" t="inlineStr">
        <is>
          <t>NASA</t>
        </is>
      </c>
      <c r="J1042" s="35" t="n"/>
      <c r="K1042" s="33" t="inlineStr">
        <is>
          <t>Added Oct 2026. Spot check before this day goes live.</t>
        </is>
      </c>
      <c r="L1042" s="35">
        <f>COUNTIFS($A$2:$A$1501,A1042,$D$2:$D$1501,D1042)</f>
        <v/>
      </c>
    </row>
    <row r="1043">
      <c r="A1043" s="35" t="n">
        <v>209</v>
      </c>
      <c r="B1043" s="41" t="n">
        <v>46508</v>
      </c>
      <c r="C1043" s="35" t="n">
        <v>2</v>
      </c>
      <c r="D1043" s="33" t="inlineStr">
        <is>
          <t>Movies, Music and Games</t>
        </is>
      </c>
      <c r="E1043" s="36" t="inlineStr">
        <is>
          <t>How long is Jaws (1975)?</t>
        </is>
      </c>
      <c r="F1043" s="42" t="n">
        <v>124</v>
      </c>
      <c r="G1043" s="33" t="inlineStr">
        <is>
          <t>minutes</t>
        </is>
      </c>
      <c r="H1043" s="35" t="inlineStr">
        <is>
          <t>Medium</t>
        </is>
      </c>
      <c r="I1043" s="33" t="inlineStr">
        <is>
          <t>IMDb</t>
        </is>
      </c>
      <c r="J1043" s="35" t="n"/>
      <c r="K1043" s="33" t="inlineStr">
        <is>
          <t>Added Oct 2026. Spot check before this day goes live.</t>
        </is>
      </c>
      <c r="L1043" s="35">
        <f>COUNTIFS($A$2:$A$1501,A1043,$D$2:$D$1501,D1043)</f>
        <v/>
      </c>
    </row>
    <row r="1044">
      <c r="A1044" s="35" t="n">
        <v>209</v>
      </c>
      <c r="B1044" s="41" t="n">
        <v>46508</v>
      </c>
      <c r="C1044" s="35" t="n">
        <v>3</v>
      </c>
      <c r="D1044" s="33" t="inlineStr">
        <is>
          <t>Human Body</t>
        </is>
      </c>
      <c r="E1044" s="36" t="inlineStr">
        <is>
          <t>How heavy is the human heart?</t>
        </is>
      </c>
      <c r="F1044" s="42" t="n">
        <v>300</v>
      </c>
      <c r="G1044" s="33" t="inlineStr">
        <is>
          <t>grams</t>
        </is>
      </c>
      <c r="H1044" s="35" t="inlineStr">
        <is>
          <t>Medium</t>
        </is>
      </c>
      <c r="I1044" s="33" t="inlineStr">
        <is>
          <t>Cleveland Clinic</t>
        </is>
      </c>
      <c r="J1044" s="35" t="n"/>
      <c r="K1044" s="33" t="inlineStr">
        <is>
          <t>Added Oct 2026. Spot check before this day goes live.</t>
        </is>
      </c>
      <c r="L1044" s="35">
        <f>COUNTIFS($A$2:$A$1501,A1044,$D$2:$D$1501,D1044)</f>
        <v/>
      </c>
    </row>
    <row r="1045">
      <c r="A1045" s="35" t="n">
        <v>209</v>
      </c>
      <c r="B1045" s="41" t="n">
        <v>46508</v>
      </c>
      <c r="C1045" s="35" t="n">
        <v>4</v>
      </c>
      <c r="D1045" s="33" t="inlineStr">
        <is>
          <t>Canada</t>
        </is>
      </c>
      <c r="E1045" s="36" t="inlineStr">
        <is>
          <t>How long is the Fraser River?</t>
        </is>
      </c>
      <c r="F1045" s="42" t="n">
        <v>1375</v>
      </c>
      <c r="G1045" s="33" t="inlineStr">
        <is>
          <t>km</t>
        </is>
      </c>
      <c r="H1045" s="35" t="inlineStr">
        <is>
          <t>Hard</t>
        </is>
      </c>
      <c r="I1045" s="33" t="inlineStr">
        <is>
          <t>Government of BC</t>
        </is>
      </c>
      <c r="J1045" s="35" t="n"/>
      <c r="K1045" s="33" t="inlineStr">
        <is>
          <t>Added Oct 2026. Spot check before this day goes live.</t>
        </is>
      </c>
      <c r="L1045" s="35">
        <f>COUNTIFS($A$2:$A$1501,A1045,$D$2:$D$1501,D1045)</f>
        <v/>
      </c>
    </row>
    <row r="1046">
      <c r="A1046" s="35" t="n">
        <v>209</v>
      </c>
      <c r="B1046" s="41" t="n">
        <v>46508</v>
      </c>
      <c r="C1046" s="35" t="n">
        <v>5</v>
      </c>
      <c r="D1046" s="33" t="inlineStr">
        <is>
          <t>Distance of the Day</t>
        </is>
      </c>
      <c r="E1046" s="36" t="inlineStr">
        <is>
          <t>How far is it in a straight line from Hamilton to Mumbai?</t>
        </is>
      </c>
      <c r="F1046" s="42" t="n">
        <v>12550</v>
      </c>
      <c r="G1046" s="33" t="inlineStr">
        <is>
          <t>km</t>
        </is>
      </c>
      <c r="H1046" s="35" t="inlineStr">
        <is>
          <t>Hard</t>
        </is>
      </c>
      <c r="I1046" s="33" t="inlineStr">
        <is>
          <t>Computed great-circle distance (city centre to city centre)</t>
        </is>
      </c>
      <c r="J1046" s="35" t="n"/>
      <c r="K1046" s="33" t="n"/>
      <c r="L1046" s="35">
        <f>COUNTIFS($A$2:$A$1501,A1046,$D$2:$D$1501,D1046)</f>
        <v/>
      </c>
    </row>
    <row r="1047">
      <c r="A1047" s="35" t="n">
        <v>210</v>
      </c>
      <c r="B1047" s="41" t="n">
        <v>46509</v>
      </c>
      <c r="C1047" s="35" t="n">
        <v>1</v>
      </c>
      <c r="D1047" s="33" t="inlineStr">
        <is>
          <t>Buildings and Engineering</t>
        </is>
      </c>
      <c r="E1047" s="36" t="inlineStr">
        <is>
          <t>How many degrees does the Leaning Tower of Pisa lean?</t>
        </is>
      </c>
      <c r="F1047" s="42" t="n">
        <v>4</v>
      </c>
      <c r="G1047" s="33" t="inlineStr">
        <is>
          <t>degrees</t>
        </is>
      </c>
      <c r="H1047" s="35" t="inlineStr">
        <is>
          <t>Medium</t>
        </is>
      </c>
      <c r="I1047" s="33" t="inlineStr">
        <is>
          <t>Opera della Primaziale Pisana</t>
        </is>
      </c>
      <c r="J1047" s="35" t="n"/>
      <c r="K1047" s="33" t="inlineStr">
        <is>
          <t>Added Oct 2026. Spot check before this day goes live.</t>
        </is>
      </c>
      <c r="L1047" s="35">
        <f>COUNTIFS($A$2:$A$1501,A1047,$D$2:$D$1501,D1047)</f>
        <v/>
      </c>
    </row>
    <row r="1048">
      <c r="A1048" s="35" t="n">
        <v>210</v>
      </c>
      <c r="B1048" s="41" t="n">
        <v>46509</v>
      </c>
      <c r="C1048" s="35" t="n">
        <v>2</v>
      </c>
      <c r="D1048" s="33" t="inlineStr">
        <is>
          <t>Sports</t>
        </is>
      </c>
      <c r="E1048" s="36" t="inlineStr">
        <is>
          <t>How many runs did Brian Lara score in his record Test innings?</t>
        </is>
      </c>
      <c r="F1048" s="42" t="n">
        <v>400</v>
      </c>
      <c r="G1048" s="33" t="inlineStr">
        <is>
          <t>runs</t>
        </is>
      </c>
      <c r="H1048" s="35" t="inlineStr">
        <is>
          <t>Medium</t>
        </is>
      </c>
      <c r="I1048" s="33" t="inlineStr">
        <is>
          <t>ICC</t>
        </is>
      </c>
      <c r="J1048" s="35" t="n"/>
      <c r="K1048" s="33" t="inlineStr">
        <is>
          <t>Added Oct 2026. Spot check before this day goes live.</t>
        </is>
      </c>
      <c r="L1048" s="35">
        <f>COUNTIFS($A$2:$A$1501,A1048,$D$2:$D$1501,D1048)</f>
        <v/>
      </c>
    </row>
    <row r="1049">
      <c r="A1049" s="35" t="n">
        <v>210</v>
      </c>
      <c r="B1049" s="41" t="n">
        <v>46509</v>
      </c>
      <c r="C1049" s="35" t="n">
        <v>3</v>
      </c>
      <c r="D1049" s="33" t="inlineStr">
        <is>
          <t>Animals and Nature</t>
        </is>
      </c>
      <c r="E1049" s="36" t="inlineStr">
        <is>
          <t>How many species of trees are there on Earth?</t>
        </is>
      </c>
      <c r="F1049" s="42" t="n">
        <v>73000</v>
      </c>
      <c r="G1049" s="33" t="inlineStr">
        <is>
          <t>species</t>
        </is>
      </c>
      <c r="H1049" s="35" t="inlineStr">
        <is>
          <t>Hard</t>
        </is>
      </c>
      <c r="I1049" s="33" t="inlineStr">
        <is>
          <t>PNAS (2022)</t>
        </is>
      </c>
      <c r="J1049" s="35" t="n"/>
      <c r="K1049" s="33" t="inlineStr">
        <is>
          <t>Added Oct 2026. Spot check before this day goes live.</t>
        </is>
      </c>
      <c r="L1049" s="35">
        <f>COUNTIFS($A$2:$A$1501,A1049,$D$2:$D$1501,D1049)</f>
        <v/>
      </c>
    </row>
    <row r="1050">
      <c r="A1050" s="35" t="n">
        <v>210</v>
      </c>
      <c r="B1050" s="41" t="n">
        <v>46509</v>
      </c>
      <c r="C1050" s="35" t="n">
        <v>4</v>
      </c>
      <c r="D1050" s="33" t="inlineStr">
        <is>
          <t>Food and Everyday Life</t>
        </is>
      </c>
      <c r="E1050" s="36" t="inlineStr">
        <is>
          <t>How many grams does a nickel weigh?</t>
        </is>
      </c>
      <c r="F1050" s="42" t="n">
        <v>3.95</v>
      </c>
      <c r="G1050" s="33" t="inlineStr">
        <is>
          <t>grams</t>
        </is>
      </c>
      <c r="H1050" s="35" t="inlineStr">
        <is>
          <t>Hard</t>
        </is>
      </c>
      <c r="I1050" s="33" t="inlineStr">
        <is>
          <t>Royal Canadian Mint</t>
        </is>
      </c>
      <c r="J1050" s="35" t="n"/>
      <c r="K1050" s="33" t="inlineStr">
        <is>
          <t>Added Oct 2026. Spot check before this day goes live.</t>
        </is>
      </c>
      <c r="L1050" s="35">
        <f>COUNTIFS($A$2:$A$1501,A1050,$D$2:$D$1501,D1050)</f>
        <v/>
      </c>
    </row>
    <row r="1051">
      <c r="A1051" s="35" t="n">
        <v>210</v>
      </c>
      <c r="B1051" s="41" t="n">
        <v>46509</v>
      </c>
      <c r="C1051" s="35" t="n">
        <v>5</v>
      </c>
      <c r="D1051" s="33" t="inlineStr">
        <is>
          <t>Distance of the Day</t>
        </is>
      </c>
      <c r="E1051" s="36" t="inlineStr">
        <is>
          <t>How far is it in a straight line from San Francisco to Phoenix?</t>
        </is>
      </c>
      <c r="F1051" s="42" t="n">
        <v>1050</v>
      </c>
      <c r="G1051" s="33" t="inlineStr">
        <is>
          <t>km</t>
        </is>
      </c>
      <c r="H1051" s="35" t="inlineStr">
        <is>
          <t>Easy</t>
        </is>
      </c>
      <c r="I1051" s="33" t="inlineStr">
        <is>
          <t>Computed great-circle distance (city centre to city centre)</t>
        </is>
      </c>
      <c r="J1051" s="35" t="n"/>
      <c r="K1051" s="33" t="n"/>
      <c r="L1051" s="35">
        <f>COUNTIFS($A$2:$A$1501,A1051,$D$2:$D$1501,D1051)</f>
        <v/>
      </c>
    </row>
    <row r="1052">
      <c r="A1052" s="35" t="n">
        <v>211</v>
      </c>
      <c r="B1052" s="41" t="n">
        <v>46510</v>
      </c>
      <c r="C1052" s="35" t="n">
        <v>1</v>
      </c>
      <c r="D1052" s="33" t="inlineStr">
        <is>
          <t>History</t>
        </is>
      </c>
      <c r="E1052" s="36" t="inlineStr">
        <is>
          <t>How many years did the American Civil War last?</t>
        </is>
      </c>
      <c r="F1052" s="42" t="n">
        <v>4</v>
      </c>
      <c r="G1052" s="33" t="inlineStr">
        <is>
          <t>years</t>
        </is>
      </c>
      <c r="H1052" s="35" t="inlineStr">
        <is>
          <t>Easy</t>
        </is>
      </c>
      <c r="I1052" s="33" t="inlineStr">
        <is>
          <t>US National Park Service</t>
        </is>
      </c>
      <c r="J1052" s="35" t="n"/>
      <c r="K1052" s="33" t="inlineStr">
        <is>
          <t>Added Oct 2026. Spot check before this day goes live.</t>
        </is>
      </c>
      <c r="L1052" s="35">
        <f>COUNTIFS($A$2:$A$1501,A1052,$D$2:$D$1501,D1052)</f>
        <v/>
      </c>
    </row>
    <row r="1053">
      <c r="A1053" s="35" t="n">
        <v>211</v>
      </c>
      <c r="B1053" s="41" t="n">
        <v>46510</v>
      </c>
      <c r="C1053" s="35" t="n">
        <v>2</v>
      </c>
      <c r="D1053" s="33" t="inlineStr">
        <is>
          <t>Human Body</t>
        </is>
      </c>
      <c r="E1053" s="36" t="inlineStr">
        <is>
          <t>How many taste buds does the average person have?</t>
        </is>
      </c>
      <c r="F1053" s="42" t="n">
        <v>10000</v>
      </c>
      <c r="G1053" s="33" t="inlineStr">
        <is>
          <t>taste buds</t>
        </is>
      </c>
      <c r="H1053" s="35" t="inlineStr">
        <is>
          <t>Medium</t>
        </is>
      </c>
      <c r="I1053" s="33" t="inlineStr">
        <is>
          <t>Cleveland Clinic</t>
        </is>
      </c>
      <c r="J1053" s="35" t="n"/>
      <c r="K1053" s="33" t="inlineStr">
        <is>
          <t>Added Oct 2026. Spot check before this day goes live.</t>
        </is>
      </c>
      <c r="L1053" s="35">
        <f>COUNTIFS($A$2:$A$1501,A1053,$D$2:$D$1501,D1053)</f>
        <v/>
      </c>
    </row>
    <row r="1054">
      <c r="A1054" s="35" t="n">
        <v>211</v>
      </c>
      <c r="B1054" s="41" t="n">
        <v>46510</v>
      </c>
      <c r="C1054" s="35" t="n">
        <v>3</v>
      </c>
      <c r="D1054" s="33" t="inlineStr">
        <is>
          <t>Space and Science</t>
        </is>
      </c>
      <c r="E1054" s="36" t="inlineStr">
        <is>
          <t>At what temperature does aluminium melt?</t>
        </is>
      </c>
      <c r="F1054" s="42" t="n">
        <v>660</v>
      </c>
      <c r="G1054" s="33" t="inlineStr">
        <is>
          <t>°C</t>
        </is>
      </c>
      <c r="H1054" s="35" t="inlineStr">
        <is>
          <t>Hard</t>
        </is>
      </c>
      <c r="I1054" s="33" t="inlineStr">
        <is>
          <t>NIST</t>
        </is>
      </c>
      <c r="J1054" s="35" t="n"/>
      <c r="K1054" s="33" t="inlineStr">
        <is>
          <t>Added Oct 2026. Spot check before this day goes live.</t>
        </is>
      </c>
      <c r="L1054" s="35">
        <f>COUNTIFS($A$2:$A$1501,A1054,$D$2:$D$1501,D1054)</f>
        <v/>
      </c>
    </row>
    <row r="1055">
      <c r="A1055" s="35" t="n">
        <v>211</v>
      </c>
      <c r="B1055" s="41" t="n">
        <v>46510</v>
      </c>
      <c r="C1055" s="35" t="n">
        <v>4</v>
      </c>
      <c r="D1055" s="33" t="inlineStr">
        <is>
          <t>Geography</t>
        </is>
      </c>
      <c r="E1055" s="36" t="inlineStr">
        <is>
          <t>How tall is Mount Whitney, the highest peak in the lower 48 US states?</t>
        </is>
      </c>
      <c r="F1055" s="42" t="n">
        <v>4421</v>
      </c>
      <c r="G1055" s="33" t="inlineStr">
        <is>
          <t>metres</t>
        </is>
      </c>
      <c r="H1055" s="35" t="inlineStr">
        <is>
          <t>Hard</t>
        </is>
      </c>
      <c r="I1055" s="33" t="inlineStr">
        <is>
          <t>US Geological Survey</t>
        </is>
      </c>
      <c r="J1055" s="35" t="n"/>
      <c r="K1055" s="33" t="inlineStr">
        <is>
          <t>Added Oct 2026. Spot check before this day goes live.</t>
        </is>
      </c>
      <c r="L1055" s="35">
        <f>COUNTIFS($A$2:$A$1501,A1055,$D$2:$D$1501,D1055)</f>
        <v/>
      </c>
    </row>
    <row r="1056">
      <c r="A1056" s="35" t="n">
        <v>211</v>
      </c>
      <c r="B1056" s="41" t="n">
        <v>46510</v>
      </c>
      <c r="C1056" s="35" t="n">
        <v>5</v>
      </c>
      <c r="D1056" s="33" t="inlineStr">
        <is>
          <t>Distance of the Day</t>
        </is>
      </c>
      <c r="E1056" s="36" t="inlineStr">
        <is>
          <t>How far is it in a straight line from Hamilton to Oslo?</t>
        </is>
      </c>
      <c r="F1056" s="42" t="n">
        <v>6000</v>
      </c>
      <c r="G1056" s="33" t="inlineStr">
        <is>
          <t>km</t>
        </is>
      </c>
      <c r="H1056" s="35" t="inlineStr">
        <is>
          <t>Medium</t>
        </is>
      </c>
      <c r="I1056" s="33" t="inlineStr">
        <is>
          <t>Computed great-circle distance (city centre to city centre)</t>
        </is>
      </c>
      <c r="J1056" s="35" t="n"/>
      <c r="K1056" s="33" t="n"/>
      <c r="L1056" s="35">
        <f>COUNTIFS($A$2:$A$1501,A1056,$D$2:$D$1501,D1056)</f>
        <v/>
      </c>
    </row>
    <row r="1057">
      <c r="A1057" s="35" t="n">
        <v>212</v>
      </c>
      <c r="B1057" s="41" t="n">
        <v>46511</v>
      </c>
      <c r="C1057" s="35" t="n">
        <v>1</v>
      </c>
      <c r="D1057" s="33" t="inlineStr">
        <is>
          <t>Movies, Music and Games</t>
        </is>
      </c>
      <c r="E1057" s="36" t="inlineStr">
        <is>
          <t>How many squares are on a chessboard?</t>
        </is>
      </c>
      <c r="F1057" s="42" t="n">
        <v>64</v>
      </c>
      <c r="G1057" s="33" t="inlineStr">
        <is>
          <t>squares</t>
        </is>
      </c>
      <c r="H1057" s="35" t="inlineStr">
        <is>
          <t>Easy</t>
        </is>
      </c>
      <c r="I1057" s="33" t="inlineStr">
        <is>
          <t>FIDE</t>
        </is>
      </c>
      <c r="J1057" s="35" t="n"/>
      <c r="K1057" s="33" t="inlineStr">
        <is>
          <t>Added Oct 2026. Spot check before this day goes live.</t>
        </is>
      </c>
      <c r="L1057" s="35">
        <f>COUNTIFS($A$2:$A$1501,A1057,$D$2:$D$1501,D1057)</f>
        <v/>
      </c>
    </row>
    <row r="1058">
      <c r="A1058" s="35" t="n">
        <v>212</v>
      </c>
      <c r="B1058" s="41" t="n">
        <v>46511</v>
      </c>
      <c r="C1058" s="35" t="n">
        <v>2</v>
      </c>
      <c r="D1058" s="33" t="inlineStr">
        <is>
          <t>Animals and Nature</t>
        </is>
      </c>
      <c r="E1058" s="36" t="inlineStr">
        <is>
          <t>How long is a giraffe's neck?</t>
        </is>
      </c>
      <c r="F1058" s="42" t="n">
        <v>1.8</v>
      </c>
      <c r="G1058" s="33" t="inlineStr">
        <is>
          <t>metres</t>
        </is>
      </c>
      <c r="H1058" s="35" t="inlineStr">
        <is>
          <t>Medium</t>
        </is>
      </c>
      <c r="I1058" s="33" t="inlineStr">
        <is>
          <t>San Diego Zoo</t>
        </is>
      </c>
      <c r="J1058" s="35" t="n"/>
      <c r="K1058" s="33" t="inlineStr">
        <is>
          <t>Added Oct 2026. Spot check before this day goes live.</t>
        </is>
      </c>
      <c r="L1058" s="35">
        <f>COUNTIFS($A$2:$A$1501,A1058,$D$2:$D$1501,D1058)</f>
        <v/>
      </c>
    </row>
    <row r="1059">
      <c r="A1059" s="35" t="n">
        <v>212</v>
      </c>
      <c r="B1059" s="41" t="n">
        <v>46511</v>
      </c>
      <c r="C1059" s="35" t="n">
        <v>3</v>
      </c>
      <c r="D1059" s="33" t="inlineStr">
        <is>
          <t>Buildings and Engineering</t>
        </is>
      </c>
      <c r="E1059" s="36" t="inlineStr">
        <is>
          <t>How tall are the letters of the Hollywood Sign?</t>
        </is>
      </c>
      <c r="F1059" s="42" t="n">
        <v>13.7</v>
      </c>
      <c r="G1059" s="33" t="inlineStr">
        <is>
          <t>metres</t>
        </is>
      </c>
      <c r="H1059" s="35" t="inlineStr">
        <is>
          <t>Medium</t>
        </is>
      </c>
      <c r="I1059" s="33" t="inlineStr">
        <is>
          <t>Hollywood Sign Trust</t>
        </is>
      </c>
      <c r="J1059" s="35" t="n"/>
      <c r="K1059" s="33" t="inlineStr">
        <is>
          <t>Added Oct 2026. Spot check before this day goes live.</t>
        </is>
      </c>
      <c r="L1059" s="35">
        <f>COUNTIFS($A$2:$A$1501,A1059,$D$2:$D$1501,D1059)</f>
        <v/>
      </c>
    </row>
    <row r="1060">
      <c r="A1060" s="35" t="n">
        <v>212</v>
      </c>
      <c r="B1060" s="41" t="n">
        <v>46511</v>
      </c>
      <c r="C1060" s="35" t="n">
        <v>4</v>
      </c>
      <c r="D1060" s="33" t="inlineStr">
        <is>
          <t>Food and Everyday Life</t>
        </is>
      </c>
      <c r="E1060" s="36" t="inlineStr">
        <is>
          <t>How many bananas does the world eat in a year?</t>
        </is>
      </c>
      <c r="F1060" s="42" t="n">
        <v>100</v>
      </c>
      <c r="G1060" s="33" t="inlineStr">
        <is>
          <t>billion bananas</t>
        </is>
      </c>
      <c r="H1060" s="35" t="inlineStr">
        <is>
          <t>Hard</t>
        </is>
      </c>
      <c r="I1060" s="33" t="inlineStr">
        <is>
          <t>UN FAO</t>
        </is>
      </c>
      <c r="J1060" s="35" t="n"/>
      <c r="K1060" s="33" t="inlineStr">
        <is>
          <t>Added Oct 2026. Spot check before this day goes live.</t>
        </is>
      </c>
      <c r="L1060" s="35">
        <f>COUNTIFS($A$2:$A$1501,A1060,$D$2:$D$1501,D1060)</f>
        <v/>
      </c>
    </row>
    <row r="1061">
      <c r="A1061" s="35" t="n">
        <v>212</v>
      </c>
      <c r="B1061" s="41" t="n">
        <v>46511</v>
      </c>
      <c r="C1061" s="35" t="n">
        <v>5</v>
      </c>
      <c r="D1061" s="33" t="inlineStr">
        <is>
          <t>Distance of the Day</t>
        </is>
      </c>
      <c r="E1061" s="36" t="inlineStr">
        <is>
          <t>How far is it in a straight line from Kelowna to Dhaka?</t>
        </is>
      </c>
      <c r="F1061" s="42" t="n">
        <v>11300</v>
      </c>
      <c r="G1061" s="33" t="inlineStr">
        <is>
          <t>km</t>
        </is>
      </c>
      <c r="H1061" s="35" t="inlineStr">
        <is>
          <t>Hard</t>
        </is>
      </c>
      <c r="I1061" s="33" t="inlineStr">
        <is>
          <t>Computed great-circle distance (city centre to city centre)</t>
        </is>
      </c>
      <c r="J1061" s="35" t="n"/>
      <c r="K1061" s="33" t="n"/>
      <c r="L1061" s="35">
        <f>COUNTIFS($A$2:$A$1501,A1061,$D$2:$D$1501,D1061)</f>
        <v/>
      </c>
    </row>
    <row r="1062">
      <c r="A1062" s="35" t="n">
        <v>213</v>
      </c>
      <c r="B1062" s="41" t="n">
        <v>46512</v>
      </c>
      <c r="C1062" s="35" t="n">
        <v>1</v>
      </c>
      <c r="D1062" s="33" t="inlineStr">
        <is>
          <t>Sports</t>
        </is>
      </c>
      <c r="E1062" s="36" t="inlineStr">
        <is>
          <t>How long is the Kentucky Derby?</t>
        </is>
      </c>
      <c r="F1062" s="42" t="n">
        <v>10</v>
      </c>
      <c r="G1062" s="33" t="inlineStr">
        <is>
          <t>furlongs</t>
        </is>
      </c>
      <c r="H1062" s="35" t="inlineStr">
        <is>
          <t>Medium</t>
        </is>
      </c>
      <c r="I1062" s="33" t="inlineStr">
        <is>
          <t>Churchill Downs</t>
        </is>
      </c>
      <c r="J1062" s="35" t="n"/>
      <c r="K1062" s="33" t="inlineStr">
        <is>
          <t>Added Oct 2026. Spot check before this day goes live.</t>
        </is>
      </c>
      <c r="L1062" s="35">
        <f>COUNTIFS($A$2:$A$1501,A1062,$D$2:$D$1501,D1062)</f>
        <v/>
      </c>
    </row>
    <row r="1063">
      <c r="A1063" s="35" t="n">
        <v>213</v>
      </c>
      <c r="B1063" s="41" t="n">
        <v>46512</v>
      </c>
      <c r="C1063" s="35" t="n">
        <v>2</v>
      </c>
      <c r="D1063" s="33" t="inlineStr">
        <is>
          <t>Human Body</t>
        </is>
      </c>
      <c r="E1063" s="36" t="inlineStr">
        <is>
          <t>How many hours of sleep a night do teenagers need?</t>
        </is>
      </c>
      <c r="F1063" s="42" t="n">
        <v>9</v>
      </c>
      <c r="G1063" s="33" t="inlineStr">
        <is>
          <t>hours</t>
        </is>
      </c>
      <c r="H1063" s="35" t="inlineStr">
        <is>
          <t>Medium</t>
        </is>
      </c>
      <c r="I1063" s="33" t="inlineStr">
        <is>
          <t>Canadian Paediatric Society</t>
        </is>
      </c>
      <c r="J1063" s="35" t="n"/>
      <c r="K1063" s="33" t="inlineStr">
        <is>
          <t>Added Oct 2026. Spot check before this day goes live.</t>
        </is>
      </c>
      <c r="L1063" s="35">
        <f>COUNTIFS($A$2:$A$1501,A1063,$D$2:$D$1501,D1063)</f>
        <v/>
      </c>
    </row>
    <row r="1064">
      <c r="A1064" s="35" t="n">
        <v>213</v>
      </c>
      <c r="B1064" s="41" t="n">
        <v>46512</v>
      </c>
      <c r="C1064" s="35" t="n">
        <v>3</v>
      </c>
      <c r="D1064" s="33" t="inlineStr">
        <is>
          <t>Canada</t>
        </is>
      </c>
      <c r="E1064" s="36" t="inlineStr">
        <is>
          <t>How big is Newfoundland and Labrador?</t>
        </is>
      </c>
      <c r="F1064" s="42" t="n">
        <v>405212</v>
      </c>
      <c r="G1064" s="33" t="inlineStr">
        <is>
          <t>km²</t>
        </is>
      </c>
      <c r="H1064" s="35" t="inlineStr">
        <is>
          <t>Hard</t>
        </is>
      </c>
      <c r="I1064" s="33" t="inlineStr">
        <is>
          <t>Statistics Canada</t>
        </is>
      </c>
      <c r="J1064" s="35" t="n"/>
      <c r="K1064" s="33" t="inlineStr">
        <is>
          <t>Added Oct 2026. Spot check before this day goes live.</t>
        </is>
      </c>
      <c r="L1064" s="35">
        <f>COUNTIFS($A$2:$A$1501,A1064,$D$2:$D$1501,D1064)</f>
        <v/>
      </c>
    </row>
    <row r="1065">
      <c r="A1065" s="35" t="n">
        <v>213</v>
      </c>
      <c r="B1065" s="41" t="n">
        <v>46512</v>
      </c>
      <c r="C1065" s="35" t="n">
        <v>4</v>
      </c>
      <c r="D1065" s="33" t="inlineStr">
        <is>
          <t>History</t>
        </is>
      </c>
      <c r="E1065" s="36" t="inlineStr">
        <is>
          <t>How many hours did Amelia Earhart's solo flight across the Atlantic take?</t>
        </is>
      </c>
      <c r="F1065" s="42" t="n">
        <v>15</v>
      </c>
      <c r="G1065" s="33" t="inlineStr">
        <is>
          <t>hours</t>
        </is>
      </c>
      <c r="H1065" s="35" t="inlineStr">
        <is>
          <t>Hard</t>
        </is>
      </c>
      <c r="I1065" s="33" t="inlineStr">
        <is>
          <t>Smithsonian</t>
        </is>
      </c>
      <c r="J1065" s="35" t="n"/>
      <c r="K1065" s="33" t="inlineStr">
        <is>
          <t>Added Oct 2026. Spot check before this day goes live.</t>
        </is>
      </c>
      <c r="L1065" s="35">
        <f>COUNTIFS($A$2:$A$1501,A1065,$D$2:$D$1501,D1065)</f>
        <v/>
      </c>
    </row>
    <row r="1066">
      <c r="A1066" s="35" t="n">
        <v>213</v>
      </c>
      <c r="B1066" s="41" t="n">
        <v>46512</v>
      </c>
      <c r="C1066" s="35" t="n">
        <v>5</v>
      </c>
      <c r="D1066" s="33" t="inlineStr">
        <is>
          <t>Distance of the Day</t>
        </is>
      </c>
      <c r="E1066" s="36" t="inlineStr">
        <is>
          <t>How far is it in a straight line from Dublin to Prague?</t>
        </is>
      </c>
      <c r="F1066" s="42" t="n">
        <v>1470</v>
      </c>
      <c r="G1066" s="33" t="inlineStr">
        <is>
          <t>km</t>
        </is>
      </c>
      <c r="H1066" s="35" t="inlineStr">
        <is>
          <t>Easy</t>
        </is>
      </c>
      <c r="I1066" s="33" t="inlineStr">
        <is>
          <t>Computed great-circle distance (city centre to city centre)</t>
        </is>
      </c>
      <c r="J1066" s="35" t="n"/>
      <c r="K1066" s="33" t="n"/>
      <c r="L1066" s="35">
        <f>COUNTIFS($A$2:$A$1501,A1066,$D$2:$D$1501,D1066)</f>
        <v/>
      </c>
    </row>
    <row r="1067">
      <c r="A1067" s="35" t="n">
        <v>214</v>
      </c>
      <c r="B1067" s="41" t="n">
        <v>46513</v>
      </c>
      <c r="C1067" s="35" t="n">
        <v>1</v>
      </c>
      <c r="D1067" s="33" t="inlineStr">
        <is>
          <t>Movies, Music and Games</t>
        </is>
      </c>
      <c r="E1067" s="36" t="inlineStr">
        <is>
          <t>How many lines are in a sonnet?</t>
        </is>
      </c>
      <c r="F1067" s="42" t="n">
        <v>14</v>
      </c>
      <c r="G1067" s="33" t="inlineStr">
        <is>
          <t>lines</t>
        </is>
      </c>
      <c r="H1067" s="35" t="inlineStr">
        <is>
          <t>Easy</t>
        </is>
      </c>
      <c r="I1067" s="33" t="inlineStr">
        <is>
          <t>Poetry Foundation</t>
        </is>
      </c>
      <c r="J1067" s="35" t="n"/>
      <c r="K1067" s="33" t="inlineStr">
        <is>
          <t>Added Oct 2026. Spot check before this day goes live.</t>
        </is>
      </c>
      <c r="L1067" s="35">
        <f>COUNTIFS($A$2:$A$1501,A1067,$D$2:$D$1501,D1067)</f>
        <v/>
      </c>
    </row>
    <row r="1068">
      <c r="A1068" s="35" t="n">
        <v>214</v>
      </c>
      <c r="B1068" s="41" t="n">
        <v>46513</v>
      </c>
      <c r="C1068" s="35" t="n">
        <v>2</v>
      </c>
      <c r="D1068" s="33" t="inlineStr">
        <is>
          <t>Geography</t>
        </is>
      </c>
      <c r="E1068" s="36" t="inlineStr">
        <is>
          <t>How many US states border Canada?</t>
        </is>
      </c>
      <c r="F1068" s="42" t="n">
        <v>13</v>
      </c>
      <c r="G1068" s="33" t="inlineStr">
        <is>
          <t>states</t>
        </is>
      </c>
      <c r="H1068" s="35" t="inlineStr">
        <is>
          <t>Medium</t>
        </is>
      </c>
      <c r="I1068" s="33" t="inlineStr">
        <is>
          <t>US Census Bureau</t>
        </is>
      </c>
      <c r="J1068" s="35" t="n"/>
      <c r="K1068" s="33" t="inlineStr">
        <is>
          <t>Added Oct 2026. Spot check before this day goes live.</t>
        </is>
      </c>
      <c r="L1068" s="35">
        <f>COUNTIFS($A$2:$A$1501,A1068,$D$2:$D$1501,D1068)</f>
        <v/>
      </c>
    </row>
    <row r="1069">
      <c r="A1069" s="35" t="n">
        <v>214</v>
      </c>
      <c r="B1069" s="41" t="n">
        <v>46513</v>
      </c>
      <c r="C1069" s="35" t="n">
        <v>3</v>
      </c>
      <c r="D1069" s="33" t="inlineStr">
        <is>
          <t>Space and Science</t>
        </is>
      </c>
      <c r="E1069" s="36" t="inlineStr">
        <is>
          <t>How many degrees hot is the surface of Mercury on its day side?</t>
        </is>
      </c>
      <c r="F1069" s="42" t="n">
        <v>430</v>
      </c>
      <c r="G1069" s="33" t="inlineStr">
        <is>
          <t>°C</t>
        </is>
      </c>
      <c r="H1069" s="35" t="inlineStr">
        <is>
          <t>Hard</t>
        </is>
      </c>
      <c r="I1069" s="33" t="inlineStr">
        <is>
          <t>NASA</t>
        </is>
      </c>
      <c r="J1069" s="35" t="n"/>
      <c r="K1069" s="33" t="inlineStr">
        <is>
          <t>Added Oct 2026. Spot check before this day goes live.</t>
        </is>
      </c>
      <c r="L1069" s="35">
        <f>COUNTIFS($A$2:$A$1501,A1069,$D$2:$D$1501,D1069)</f>
        <v/>
      </c>
    </row>
    <row r="1070">
      <c r="A1070" s="35" t="n">
        <v>214</v>
      </c>
      <c r="B1070" s="41" t="n">
        <v>46513</v>
      </c>
      <c r="C1070" s="35" t="n">
        <v>4</v>
      </c>
      <c r="D1070" s="33" t="inlineStr">
        <is>
          <t>Food and Everyday Life</t>
        </is>
      </c>
      <c r="E1070" s="36" t="inlineStr">
        <is>
          <t>How tall is a standard stair step in a home?</t>
        </is>
      </c>
      <c r="F1070" s="42" t="n">
        <v>18</v>
      </c>
      <c r="G1070" s="33" t="inlineStr">
        <is>
          <t>cm</t>
        </is>
      </c>
      <c r="H1070" s="35" t="inlineStr">
        <is>
          <t>Hard</t>
        </is>
      </c>
      <c r="I1070" s="33" t="inlineStr">
        <is>
          <t>National Building Code of Canada</t>
        </is>
      </c>
      <c r="J1070" s="35" t="n"/>
      <c r="K1070" s="33" t="inlineStr">
        <is>
          <t>Added Oct 2026. Spot check before this day goes live.</t>
        </is>
      </c>
      <c r="L1070" s="35">
        <f>COUNTIFS($A$2:$A$1501,A1070,$D$2:$D$1501,D1070)</f>
        <v/>
      </c>
    </row>
    <row r="1071">
      <c r="A1071" s="35" t="n">
        <v>214</v>
      </c>
      <c r="B1071" s="41" t="n">
        <v>46513</v>
      </c>
      <c r="C1071" s="35" t="n">
        <v>5</v>
      </c>
      <c r="D1071" s="33" t="inlineStr">
        <is>
          <t>Distance of the Day</t>
        </is>
      </c>
      <c r="E1071" s="36" t="inlineStr">
        <is>
          <t>How far is it in a straight line from Charlottetown to Mexico City?</t>
        </is>
      </c>
      <c r="F1071" s="42" t="n">
        <v>4430</v>
      </c>
      <c r="G1071" s="33" t="inlineStr">
        <is>
          <t>km</t>
        </is>
      </c>
      <c r="H1071" s="35" t="inlineStr">
        <is>
          <t>Medium</t>
        </is>
      </c>
      <c r="I1071" s="33" t="inlineStr">
        <is>
          <t>Computed great-circle distance (city centre to city centre)</t>
        </is>
      </c>
      <c r="J1071" s="35" t="n"/>
      <c r="K1071" s="33" t="n"/>
      <c r="L1071" s="35">
        <f>COUNTIFS($A$2:$A$1501,A1071,$D$2:$D$1501,D1071)</f>
        <v/>
      </c>
    </row>
    <row r="1072">
      <c r="A1072" s="35" t="n">
        <v>215</v>
      </c>
      <c r="B1072" s="41" t="n">
        <v>46514</v>
      </c>
      <c r="C1072" s="35" t="n">
        <v>1</v>
      </c>
      <c r="D1072" s="33" t="inlineStr">
        <is>
          <t>Buildings and Engineering</t>
        </is>
      </c>
      <c r="E1072" s="36" t="inlineStr">
        <is>
          <t>How many points are on the Statue of Liberty's crown?</t>
        </is>
      </c>
      <c r="F1072" s="42" t="n">
        <v>7</v>
      </c>
      <c r="G1072" s="33" t="inlineStr">
        <is>
          <t>points</t>
        </is>
      </c>
      <c r="H1072" s="35" t="inlineStr">
        <is>
          <t>Easy</t>
        </is>
      </c>
      <c r="I1072" s="33" t="inlineStr">
        <is>
          <t>US National Park Service</t>
        </is>
      </c>
      <c r="J1072" s="35" t="n"/>
      <c r="K1072" s="33" t="inlineStr">
        <is>
          <t>Added Oct 2026. Spot check before this day goes live.</t>
        </is>
      </c>
      <c r="L1072" s="35">
        <f>COUNTIFS($A$2:$A$1501,A1072,$D$2:$D$1501,D1072)</f>
        <v/>
      </c>
    </row>
    <row r="1073">
      <c r="A1073" s="35" t="n">
        <v>215</v>
      </c>
      <c r="B1073" s="41" t="n">
        <v>46514</v>
      </c>
      <c r="C1073" s="35" t="n">
        <v>2</v>
      </c>
      <c r="D1073" s="33" t="inlineStr">
        <is>
          <t>Sports</t>
        </is>
      </c>
      <c r="E1073" s="36" t="inlineStr">
        <is>
          <t>How many feathers are on a badminton shuttlecock?</t>
        </is>
      </c>
      <c r="F1073" s="42" t="n">
        <v>16</v>
      </c>
      <c r="G1073" s="33" t="inlineStr">
        <is>
          <t>feathers</t>
        </is>
      </c>
      <c r="H1073" s="35" t="inlineStr">
        <is>
          <t>Medium</t>
        </is>
      </c>
      <c r="I1073" s="33" t="inlineStr">
        <is>
          <t>BWF</t>
        </is>
      </c>
      <c r="J1073" s="35" t="n"/>
      <c r="K1073" s="33" t="inlineStr">
        <is>
          <t>Added Oct 2026. Spot check before this day goes live.</t>
        </is>
      </c>
      <c r="L1073" s="35">
        <f>COUNTIFS($A$2:$A$1501,A1073,$D$2:$D$1501,D1073)</f>
        <v/>
      </c>
    </row>
    <row r="1074">
      <c r="A1074" s="35" t="n">
        <v>215</v>
      </c>
      <c r="B1074" s="41" t="n">
        <v>46514</v>
      </c>
      <c r="C1074" s="35" t="n">
        <v>3</v>
      </c>
      <c r="D1074" s="33" t="inlineStr">
        <is>
          <t>Human Body</t>
        </is>
      </c>
      <c r="E1074" s="36" t="inlineStr">
        <is>
          <t>How long does it take blood to make one full trip around the body?</t>
        </is>
      </c>
      <c r="F1074" s="42" t="n">
        <v>60</v>
      </c>
      <c r="G1074" s="33" t="inlineStr">
        <is>
          <t>seconds</t>
        </is>
      </c>
      <c r="H1074" s="35" t="inlineStr">
        <is>
          <t>Medium</t>
        </is>
      </c>
      <c r="I1074" s="33" t="inlineStr">
        <is>
          <t>Britannica</t>
        </is>
      </c>
      <c r="J1074" s="35" t="n"/>
      <c r="K1074" s="33" t="inlineStr">
        <is>
          <t>Added Oct 2026. Spot check before this day goes live.</t>
        </is>
      </c>
      <c r="L1074" s="35">
        <f>COUNTIFS($A$2:$A$1501,A1074,$D$2:$D$1501,D1074)</f>
        <v/>
      </c>
    </row>
    <row r="1075">
      <c r="A1075" s="35" t="n">
        <v>215</v>
      </c>
      <c r="B1075" s="41" t="n">
        <v>46514</v>
      </c>
      <c r="C1075" s="35" t="n">
        <v>4</v>
      </c>
      <c r="D1075" s="33" t="inlineStr">
        <is>
          <t>Animals and Nature</t>
        </is>
      </c>
      <c r="E1075" s="36" t="inlineStr">
        <is>
          <t>How heavy is a blue whale's tongue?</t>
        </is>
      </c>
      <c r="F1075" s="42" t="n">
        <v>2700</v>
      </c>
      <c r="G1075" s="33" t="inlineStr">
        <is>
          <t>kg</t>
        </is>
      </c>
      <c r="H1075" s="35" t="inlineStr">
        <is>
          <t>Hard</t>
        </is>
      </c>
      <c r="I1075" s="33" t="inlineStr">
        <is>
          <t>NOAA Fisheries</t>
        </is>
      </c>
      <c r="J1075" s="35" t="n"/>
      <c r="K1075" s="33" t="inlineStr">
        <is>
          <t>Added Oct 2026. Spot check before this day goes live.</t>
        </is>
      </c>
      <c r="L1075" s="35">
        <f>COUNTIFS($A$2:$A$1501,A1075,$D$2:$D$1501,D1075)</f>
        <v/>
      </c>
    </row>
    <row r="1076">
      <c r="A1076" s="35" t="n">
        <v>215</v>
      </c>
      <c r="B1076" s="41" t="n">
        <v>46514</v>
      </c>
      <c r="C1076" s="35" t="n">
        <v>5</v>
      </c>
      <c r="D1076" s="33" t="inlineStr">
        <is>
          <t>Distance of the Day</t>
        </is>
      </c>
      <c r="E1076" s="36" t="inlineStr">
        <is>
          <t>How far is it in a straight line from Sudbury to Auckland?</t>
        </is>
      </c>
      <c r="F1076" s="42" t="n">
        <v>13880</v>
      </c>
      <c r="G1076" s="33" t="inlineStr">
        <is>
          <t>km</t>
        </is>
      </c>
      <c r="H1076" s="35" t="inlineStr">
        <is>
          <t>Hard</t>
        </is>
      </c>
      <c r="I1076" s="33" t="inlineStr">
        <is>
          <t>Computed great-circle distance (city centre to city centre)</t>
        </is>
      </c>
      <c r="J1076" s="35" t="n"/>
      <c r="K1076" s="33" t="n"/>
      <c r="L1076" s="35">
        <f>COUNTIFS($A$2:$A$1501,A1076,$D$2:$D$1501,D1076)</f>
        <v/>
      </c>
    </row>
    <row r="1077">
      <c r="A1077" s="35" t="n">
        <v>216</v>
      </c>
      <c r="B1077" s="41" t="n">
        <v>46515</v>
      </c>
      <c r="C1077" s="35" t="n">
        <v>1</v>
      </c>
      <c r="D1077" s="33" t="inlineStr">
        <is>
          <t>History</t>
        </is>
      </c>
      <c r="E1077" s="36" t="inlineStr">
        <is>
          <t>How many people attended the 1963 March on Washington?</t>
        </is>
      </c>
      <c r="F1077" s="42" t="n">
        <v>250000</v>
      </c>
      <c r="G1077" s="33" t="inlineStr">
        <is>
          <t>people</t>
        </is>
      </c>
      <c r="H1077" s="35" t="inlineStr">
        <is>
          <t>Medium</t>
        </is>
      </c>
      <c r="I1077" s="33" t="inlineStr">
        <is>
          <t>US National Archives</t>
        </is>
      </c>
      <c r="J1077" s="35" t="n"/>
      <c r="K1077" s="33" t="inlineStr">
        <is>
          <t>Added Oct 2026. Spot check before this day goes live.</t>
        </is>
      </c>
      <c r="L1077" s="35">
        <f>COUNTIFS($A$2:$A$1501,A1077,$D$2:$D$1501,D1077)</f>
        <v/>
      </c>
    </row>
    <row r="1078">
      <c r="A1078" s="35" t="n">
        <v>216</v>
      </c>
      <c r="B1078" s="41" t="n">
        <v>46515</v>
      </c>
      <c r="C1078" s="35" t="n">
        <v>2</v>
      </c>
      <c r="D1078" s="33" t="inlineStr">
        <is>
          <t>Canada</t>
        </is>
      </c>
      <c r="E1078" s="36" t="inlineStr">
        <is>
          <t>How many years did it take to build the main line of the Canadian Pacific Railway?</t>
        </is>
      </c>
      <c r="F1078" s="42" t="n">
        <v>4</v>
      </c>
      <c r="G1078" s="33" t="inlineStr">
        <is>
          <t>years</t>
        </is>
      </c>
      <c r="H1078" s="35" t="inlineStr">
        <is>
          <t>Medium</t>
        </is>
      </c>
      <c r="I1078" s="33" t="inlineStr">
        <is>
          <t>Library and Archives Canada</t>
        </is>
      </c>
      <c r="J1078" s="35" t="n"/>
      <c r="K1078" s="33" t="inlineStr">
        <is>
          <t>Added Oct 2026. Spot check before this day goes live.</t>
        </is>
      </c>
      <c r="L1078" s="35">
        <f>COUNTIFS($A$2:$A$1501,A1078,$D$2:$D$1501,D1078)</f>
        <v/>
      </c>
    </row>
    <row r="1079">
      <c r="A1079" s="35" t="n">
        <v>216</v>
      </c>
      <c r="B1079" s="41" t="n">
        <v>46515</v>
      </c>
      <c r="C1079" s="35" t="n">
        <v>3</v>
      </c>
      <c r="D1079" s="33" t="inlineStr">
        <is>
          <t>Geography</t>
        </is>
      </c>
      <c r="E1079" s="36" t="inlineStr">
        <is>
          <t>How long is the Seine River?</t>
        </is>
      </c>
      <c r="F1079" s="42" t="n">
        <v>777</v>
      </c>
      <c r="G1079" s="33" t="inlineStr">
        <is>
          <t>km</t>
        </is>
      </c>
      <c r="H1079" s="35" t="inlineStr">
        <is>
          <t>Hard</t>
        </is>
      </c>
      <c r="I1079" s="33" t="inlineStr">
        <is>
          <t>Britannica</t>
        </is>
      </c>
      <c r="J1079" s="35" t="n"/>
      <c r="K1079" s="33" t="inlineStr">
        <is>
          <t>Added Oct 2026. Spot check before this day goes live.</t>
        </is>
      </c>
      <c r="L1079" s="35">
        <f>COUNTIFS($A$2:$A$1501,A1079,$D$2:$D$1501,D1079)</f>
        <v/>
      </c>
    </row>
    <row r="1080">
      <c r="A1080" s="35" t="n">
        <v>216</v>
      </c>
      <c r="B1080" s="41" t="n">
        <v>46515</v>
      </c>
      <c r="C1080" s="35" t="n">
        <v>4</v>
      </c>
      <c r="D1080" s="33" t="inlineStr">
        <is>
          <t>Space and Science</t>
        </is>
      </c>
      <c r="E1080" s="36" t="inlineStr">
        <is>
          <t>How fast do the fastest raindrops fall?</t>
        </is>
      </c>
      <c r="F1080" s="42" t="n">
        <v>32</v>
      </c>
      <c r="G1080" s="33" t="inlineStr">
        <is>
          <t>km/h</t>
        </is>
      </c>
      <c r="H1080" s="35" t="inlineStr">
        <is>
          <t>Hard</t>
        </is>
      </c>
      <c r="I1080" s="33" t="inlineStr">
        <is>
          <t>USGS</t>
        </is>
      </c>
      <c r="J1080" s="35" t="n"/>
      <c r="K1080" s="33" t="inlineStr">
        <is>
          <t>Added Oct 2026. Spot check before this day goes live.</t>
        </is>
      </c>
      <c r="L1080" s="35">
        <f>COUNTIFS($A$2:$A$1501,A1080,$D$2:$D$1501,D1080)</f>
        <v/>
      </c>
    </row>
    <row r="1081">
      <c r="A1081" s="35" t="n">
        <v>216</v>
      </c>
      <c r="B1081" s="41" t="n">
        <v>46515</v>
      </c>
      <c r="C1081" s="35" t="n">
        <v>5</v>
      </c>
      <c r="D1081" s="33" t="inlineStr">
        <is>
          <t>Distance of the Day</t>
        </is>
      </c>
      <c r="E1081" s="36" t="inlineStr">
        <is>
          <t>How far is it in a straight line from Victoria to Houston?</t>
        </is>
      </c>
      <c r="F1081" s="42" t="n">
        <v>3150</v>
      </c>
      <c r="G1081" s="33" t="inlineStr">
        <is>
          <t>km</t>
        </is>
      </c>
      <c r="H1081" s="35" t="inlineStr">
        <is>
          <t>Medium</t>
        </is>
      </c>
      <c r="I1081" s="33" t="inlineStr">
        <is>
          <t>Computed great-circle distance (city centre to city centre)</t>
        </is>
      </c>
      <c r="J1081" s="35" t="n"/>
      <c r="K1081" s="33" t="n"/>
      <c r="L1081" s="35">
        <f>COUNTIFS($A$2:$A$1501,A1081,$D$2:$D$1501,D1081)</f>
        <v/>
      </c>
    </row>
    <row r="1082">
      <c r="A1082" s="35" t="n">
        <v>217</v>
      </c>
      <c r="B1082" s="41" t="n">
        <v>46516</v>
      </c>
      <c r="C1082" s="35" t="n">
        <v>1</v>
      </c>
      <c r="D1082" s="33" t="inlineStr">
        <is>
          <t>Movies, Music and Games</t>
        </is>
      </c>
      <c r="E1082" s="36" t="inlineStr">
        <is>
          <t>How many strings does a violin have?</t>
        </is>
      </c>
      <c r="F1082" s="42" t="n">
        <v>4</v>
      </c>
      <c r="G1082" s="33" t="inlineStr">
        <is>
          <t>strings</t>
        </is>
      </c>
      <c r="H1082" s="35" t="inlineStr">
        <is>
          <t>Easy</t>
        </is>
      </c>
      <c r="I1082" s="33" t="inlineStr">
        <is>
          <t>Britannica</t>
        </is>
      </c>
      <c r="J1082" s="35" t="n"/>
      <c r="K1082" s="33" t="inlineStr">
        <is>
          <t>Added Oct 2026. Spot check before this day goes live.</t>
        </is>
      </c>
      <c r="L1082" s="35">
        <f>COUNTIFS($A$2:$A$1501,A1082,$D$2:$D$1501,D1082)</f>
        <v/>
      </c>
    </row>
    <row r="1083">
      <c r="A1083" s="35" t="n">
        <v>217</v>
      </c>
      <c r="B1083" s="41" t="n">
        <v>46516</v>
      </c>
      <c r="C1083" s="35" t="n">
        <v>2</v>
      </c>
      <c r="D1083" s="33" t="inlineStr">
        <is>
          <t>Buildings and Engineering</t>
        </is>
      </c>
      <c r="E1083" s="36" t="inlineStr">
        <is>
          <t>How tall is the Empire State Building, to the tip of its antenna?</t>
        </is>
      </c>
      <c r="F1083" s="42" t="n">
        <v>443</v>
      </c>
      <c r="G1083" s="33" t="inlineStr">
        <is>
          <t>metres</t>
        </is>
      </c>
      <c r="H1083" s="35" t="inlineStr">
        <is>
          <t>Medium</t>
        </is>
      </c>
      <c r="I1083" s="33" t="inlineStr">
        <is>
          <t>Empire State Building</t>
        </is>
      </c>
      <c r="J1083" s="35" t="n"/>
      <c r="K1083" s="33" t="inlineStr">
        <is>
          <t>Added Oct 2026. Spot check before this day goes live.</t>
        </is>
      </c>
      <c r="L1083" s="35">
        <f>COUNTIFS($A$2:$A$1501,A1083,$D$2:$D$1501,D1083)</f>
        <v/>
      </c>
    </row>
    <row r="1084">
      <c r="A1084" s="35" t="n">
        <v>217</v>
      </c>
      <c r="B1084" s="41" t="n">
        <v>46516</v>
      </c>
      <c r="C1084" s="35" t="n">
        <v>3</v>
      </c>
      <c r="D1084" s="33" t="inlineStr">
        <is>
          <t>Animals and Nature</t>
        </is>
      </c>
      <c r="E1084" s="36" t="inlineStr">
        <is>
          <t>How many seeds can a single sunflower head hold?</t>
        </is>
      </c>
      <c r="F1084" s="42" t="n">
        <v>2000</v>
      </c>
      <c r="G1084" s="33" t="inlineStr">
        <is>
          <t>seeds</t>
        </is>
      </c>
      <c r="H1084" s="35" t="inlineStr">
        <is>
          <t>Medium</t>
        </is>
      </c>
      <c r="I1084" s="33" t="inlineStr">
        <is>
          <t>Britannica</t>
        </is>
      </c>
      <c r="J1084" s="35" t="n"/>
      <c r="K1084" s="33" t="inlineStr">
        <is>
          <t>Added Oct 2026. Spot check before this day goes live.</t>
        </is>
      </c>
      <c r="L1084" s="35">
        <f>COUNTIFS($A$2:$A$1501,A1084,$D$2:$D$1501,D1084)</f>
        <v/>
      </c>
    </row>
    <row r="1085">
      <c r="A1085" s="35" t="n">
        <v>217</v>
      </c>
      <c r="B1085" s="41" t="n">
        <v>46516</v>
      </c>
      <c r="C1085" s="35" t="n">
        <v>4</v>
      </c>
      <c r="D1085" s="33" t="inlineStr">
        <is>
          <t>Food and Everyday Life</t>
        </is>
      </c>
      <c r="E1085" s="36" t="inlineStr">
        <is>
          <t>How many bricks does it take to build one square metre of wall?</t>
        </is>
      </c>
      <c r="F1085" s="42" t="n">
        <v>60</v>
      </c>
      <c r="G1085" s="33" t="inlineStr">
        <is>
          <t>bricks</t>
        </is>
      </c>
      <c r="H1085" s="35" t="inlineStr">
        <is>
          <t>Hard</t>
        </is>
      </c>
      <c r="I1085" s="33" t="inlineStr">
        <is>
          <t>Brick Development Association</t>
        </is>
      </c>
      <c r="J1085" s="35" t="n"/>
      <c r="K1085" s="33" t="inlineStr">
        <is>
          <t>Added Oct 2026. Spot check before this day goes live.</t>
        </is>
      </c>
      <c r="L1085" s="35">
        <f>COUNTIFS($A$2:$A$1501,A1085,$D$2:$D$1501,D1085)</f>
        <v/>
      </c>
    </row>
    <row r="1086">
      <c r="A1086" s="35" t="n">
        <v>217</v>
      </c>
      <c r="B1086" s="41" t="n">
        <v>46516</v>
      </c>
      <c r="C1086" s="35" t="n">
        <v>5</v>
      </c>
      <c r="D1086" s="33" t="inlineStr">
        <is>
          <t>Distance of the Day</t>
        </is>
      </c>
      <c r="E1086" s="36" t="inlineStr">
        <is>
          <t>How far is it in a straight line from Los Angeles to San Francisco?</t>
        </is>
      </c>
      <c r="F1086" s="42" t="n">
        <v>560</v>
      </c>
      <c r="G1086" s="33" t="inlineStr">
        <is>
          <t>km</t>
        </is>
      </c>
      <c r="H1086" s="35" t="inlineStr">
        <is>
          <t>Easy</t>
        </is>
      </c>
      <c r="I1086" s="33" t="inlineStr">
        <is>
          <t>Computed great-circle distance (city centre to city centre)</t>
        </is>
      </c>
      <c r="J1086" s="35" t="n"/>
      <c r="K1086" s="33" t="n"/>
      <c r="L1086" s="35">
        <f>COUNTIFS($A$2:$A$1501,A1086,$D$2:$D$1501,D1086)</f>
        <v/>
      </c>
    </row>
    <row r="1087">
      <c r="A1087" s="35" t="n">
        <v>218</v>
      </c>
      <c r="B1087" s="41" t="n">
        <v>46517</v>
      </c>
      <c r="C1087" s="35" t="n">
        <v>1</v>
      </c>
      <c r="D1087" s="33" t="inlineStr">
        <is>
          <t>Geography</t>
        </is>
      </c>
      <c r="E1087" s="36" t="inlineStr">
        <is>
          <t>How many continents are there?</t>
        </is>
      </c>
      <c r="F1087" s="42" t="n">
        <v>7</v>
      </c>
      <c r="G1087" s="33" t="inlineStr">
        <is>
          <t>continents</t>
        </is>
      </c>
      <c r="H1087" s="35" t="inlineStr">
        <is>
          <t>Easy</t>
        </is>
      </c>
      <c r="I1087" s="33" t="inlineStr">
        <is>
          <t>National Geographic</t>
        </is>
      </c>
      <c r="J1087" s="35" t="n"/>
      <c r="K1087" s="33" t="inlineStr">
        <is>
          <t>Added Oct 2026. Spot check before this day goes live.</t>
        </is>
      </c>
      <c r="L1087" s="35">
        <f>COUNTIFS($A$2:$A$1501,A1087,$D$2:$D$1501,D1087)</f>
        <v/>
      </c>
    </row>
    <row r="1088">
      <c r="A1088" s="35" t="n">
        <v>218</v>
      </c>
      <c r="B1088" s="41" t="n">
        <v>46517</v>
      </c>
      <c r="C1088" s="35" t="n">
        <v>2</v>
      </c>
      <c r="D1088" s="33" t="inlineStr">
        <is>
          <t>Human Body</t>
        </is>
      </c>
      <c r="E1088" s="36" t="inlineStr">
        <is>
          <t>How many words per minute does the average person speak?</t>
        </is>
      </c>
      <c r="F1088" s="42" t="n">
        <v>150</v>
      </c>
      <c r="G1088" s="33" t="inlineStr">
        <is>
          <t>words</t>
        </is>
      </c>
      <c r="H1088" s="35" t="inlineStr">
        <is>
          <t>Medium</t>
        </is>
      </c>
      <c r="I1088" s="33" t="inlineStr">
        <is>
          <t>National Center for Voice and Speech</t>
        </is>
      </c>
      <c r="J1088" s="35" t="n"/>
      <c r="K1088" s="33" t="inlineStr">
        <is>
          <t>Added Oct 2026. Spot check before this day goes live.</t>
        </is>
      </c>
      <c r="L1088" s="35">
        <f>COUNTIFS($A$2:$A$1501,A1088,$D$2:$D$1501,D1088)</f>
        <v/>
      </c>
    </row>
    <row r="1089">
      <c r="A1089" s="35" t="n">
        <v>218</v>
      </c>
      <c r="B1089" s="41" t="n">
        <v>46517</v>
      </c>
      <c r="C1089" s="35" t="n">
        <v>3</v>
      </c>
      <c r="D1089" s="33" t="inlineStr">
        <is>
          <t>Space and Science</t>
        </is>
      </c>
      <c r="E1089" s="36" t="inlineStr">
        <is>
          <t>How many degrees below zero Celsius is dry ice?</t>
        </is>
      </c>
      <c r="F1089" s="42" t="n">
        <v>78.5</v>
      </c>
      <c r="G1089" s="33" t="inlineStr">
        <is>
          <t>°C</t>
        </is>
      </c>
      <c r="H1089" s="35" t="inlineStr">
        <is>
          <t>Hard</t>
        </is>
      </c>
      <c r="I1089" s="33" t="inlineStr">
        <is>
          <t>NIST</t>
        </is>
      </c>
      <c r="J1089" s="35" t="n"/>
      <c r="K1089" s="33" t="inlineStr">
        <is>
          <t>Added Oct 2026. Spot check before this day goes live.</t>
        </is>
      </c>
      <c r="L1089" s="35">
        <f>COUNTIFS($A$2:$A$1501,A1089,$D$2:$D$1501,D1089)</f>
        <v/>
      </c>
    </row>
    <row r="1090">
      <c r="A1090" s="35" t="n">
        <v>218</v>
      </c>
      <c r="B1090" s="41" t="n">
        <v>46517</v>
      </c>
      <c r="C1090" s="35" t="n">
        <v>4</v>
      </c>
      <c r="D1090" s="33" t="inlineStr">
        <is>
          <t>Sports</t>
        </is>
      </c>
      <c r="E1090" s="36" t="inlineStr">
        <is>
          <t>How many laps is the Monaco Grand Prix?</t>
        </is>
      </c>
      <c r="F1090" s="42" t="n">
        <v>78</v>
      </c>
      <c r="G1090" s="33" t="inlineStr">
        <is>
          <t>laps</t>
        </is>
      </c>
      <c r="H1090" s="35" t="inlineStr">
        <is>
          <t>Hard</t>
        </is>
      </c>
      <c r="I1090" s="33" t="inlineStr">
        <is>
          <t>Formula 1</t>
        </is>
      </c>
      <c r="J1090" s="35" t="n"/>
      <c r="K1090" s="33" t="inlineStr">
        <is>
          <t>Added Oct 2026. Spot check before this day goes live.</t>
        </is>
      </c>
      <c r="L1090" s="35">
        <f>COUNTIFS($A$2:$A$1501,A1090,$D$2:$D$1501,D1090)</f>
        <v/>
      </c>
    </row>
    <row r="1091">
      <c r="A1091" s="35" t="n">
        <v>218</v>
      </c>
      <c r="B1091" s="41" t="n">
        <v>46517</v>
      </c>
      <c r="C1091" s="35" t="n">
        <v>5</v>
      </c>
      <c r="D1091" s="33" t="inlineStr">
        <is>
          <t>Distance of the Day</t>
        </is>
      </c>
      <c r="E1091" s="36" t="inlineStr">
        <is>
          <t>How far is it in a straight line from Halifax to New Orleans?</t>
        </is>
      </c>
      <c r="F1091" s="42" t="n">
        <v>2840</v>
      </c>
      <c r="G1091" s="33" t="inlineStr">
        <is>
          <t>km</t>
        </is>
      </c>
      <c r="H1091" s="35" t="inlineStr">
        <is>
          <t>Medium</t>
        </is>
      </c>
      <c r="I1091" s="33" t="inlineStr">
        <is>
          <t>Computed great-circle distance (city centre to city centre)</t>
        </is>
      </c>
      <c r="J1091" s="35" t="n"/>
      <c r="K1091" s="33" t="n"/>
      <c r="L1091" s="35">
        <f>COUNTIFS($A$2:$A$1501,A1091,$D$2:$D$1501,D1091)</f>
        <v/>
      </c>
    </row>
    <row r="1092">
      <c r="A1092" s="35" t="n">
        <v>219</v>
      </c>
      <c r="B1092" s="41" t="n">
        <v>46518</v>
      </c>
      <c r="C1092" s="35" t="n">
        <v>1</v>
      </c>
      <c r="D1092" s="33" t="inlineStr">
        <is>
          <t>History</t>
        </is>
      </c>
      <c r="E1092" s="36" t="inlineStr">
        <is>
          <t>How many ships did Columbus take on his first voyage across the Atlantic?</t>
        </is>
      </c>
      <c r="F1092" s="42" t="n">
        <v>3</v>
      </c>
      <c r="G1092" s="33" t="inlineStr">
        <is>
          <t>ships</t>
        </is>
      </c>
      <c r="H1092" s="35" t="inlineStr">
        <is>
          <t>Easy</t>
        </is>
      </c>
      <c r="I1092" s="33" t="inlineStr">
        <is>
          <t>Britannica</t>
        </is>
      </c>
      <c r="J1092" s="35" t="n"/>
      <c r="K1092" s="33" t="inlineStr">
        <is>
          <t>Added Oct 2026. Spot check before this day goes live.</t>
        </is>
      </c>
      <c r="L1092" s="35">
        <f>COUNTIFS($A$2:$A$1501,A1092,$D$2:$D$1501,D1092)</f>
        <v/>
      </c>
    </row>
    <row r="1093">
      <c r="A1093" s="35" t="n">
        <v>219</v>
      </c>
      <c r="B1093" s="41" t="n">
        <v>46518</v>
      </c>
      <c r="C1093" s="35" t="n">
        <v>2</v>
      </c>
      <c r="D1093" s="33" t="inlineStr">
        <is>
          <t>Movies, Music and Games</t>
        </is>
      </c>
      <c r="E1093" s="36" t="inlineStr">
        <is>
          <t>How many holes are in a Connect Four grid?</t>
        </is>
      </c>
      <c r="F1093" s="42" t="n">
        <v>42</v>
      </c>
      <c r="G1093" s="33" t="inlineStr">
        <is>
          <t>holes</t>
        </is>
      </c>
      <c r="H1093" s="35" t="inlineStr">
        <is>
          <t>Medium</t>
        </is>
      </c>
      <c r="I1093" s="33" t="inlineStr">
        <is>
          <t>Hasbro</t>
        </is>
      </c>
      <c r="J1093" s="35" t="n"/>
      <c r="K1093" s="33" t="inlineStr">
        <is>
          <t>Added Oct 2026. Spot check before this day goes live.</t>
        </is>
      </c>
      <c r="L1093" s="35">
        <f>COUNTIFS($A$2:$A$1501,A1093,$D$2:$D$1501,D1093)</f>
        <v/>
      </c>
    </row>
    <row r="1094">
      <c r="A1094" s="35" t="n">
        <v>219</v>
      </c>
      <c r="B1094" s="41" t="n">
        <v>46518</v>
      </c>
      <c r="C1094" s="35" t="n">
        <v>3</v>
      </c>
      <c r="D1094" s="33" t="inlineStr">
        <is>
          <t>Canada</t>
        </is>
      </c>
      <c r="E1094" s="36" t="inlineStr">
        <is>
          <t>How long is the Canadarm on the Space Shuttle?</t>
        </is>
      </c>
      <c r="F1094" s="42" t="n">
        <v>15.2</v>
      </c>
      <c r="G1094" s="33" t="inlineStr">
        <is>
          <t>metres</t>
        </is>
      </c>
      <c r="H1094" s="35" t="inlineStr">
        <is>
          <t>Medium</t>
        </is>
      </c>
      <c r="I1094" s="33" t="inlineStr">
        <is>
          <t>Canadian Space Agency</t>
        </is>
      </c>
      <c r="J1094" s="35" t="n"/>
      <c r="K1094" s="33" t="inlineStr">
        <is>
          <t>Added Oct 2026. Spot check before this day goes live.</t>
        </is>
      </c>
      <c r="L1094" s="35">
        <f>COUNTIFS($A$2:$A$1501,A1094,$D$2:$D$1501,D1094)</f>
        <v/>
      </c>
    </row>
    <row r="1095">
      <c r="A1095" s="35" t="n">
        <v>219</v>
      </c>
      <c r="B1095" s="41" t="n">
        <v>46518</v>
      </c>
      <c r="C1095" s="35" t="n">
        <v>4</v>
      </c>
      <c r="D1095" s="33" t="inlineStr">
        <is>
          <t>Animals and Nature</t>
        </is>
      </c>
      <c r="E1095" s="36" t="inlineStr">
        <is>
          <t>How fast was the strongest wind gust ever recorded, not counting tornadoes?</t>
        </is>
      </c>
      <c r="F1095" s="42" t="n">
        <v>408</v>
      </c>
      <c r="G1095" s="33" t="inlineStr">
        <is>
          <t>km/h</t>
        </is>
      </c>
      <c r="H1095" s="35" t="inlineStr">
        <is>
          <t>Hard</t>
        </is>
      </c>
      <c r="I1095" s="33" t="inlineStr">
        <is>
          <t>World Meteorological Organization</t>
        </is>
      </c>
      <c r="J1095" s="35" t="n"/>
      <c r="K1095" s="33" t="inlineStr">
        <is>
          <t>Added Oct 2026. Spot check before this day goes live.</t>
        </is>
      </c>
      <c r="L1095" s="35">
        <f>COUNTIFS($A$2:$A$1501,A1095,$D$2:$D$1501,D1095)</f>
        <v/>
      </c>
    </row>
    <row r="1096">
      <c r="A1096" s="35" t="n">
        <v>219</v>
      </c>
      <c r="B1096" s="41" t="n">
        <v>46518</v>
      </c>
      <c r="C1096" s="35" t="n">
        <v>5</v>
      </c>
      <c r="D1096" s="33" t="inlineStr">
        <is>
          <t>Distance of the Day</t>
        </is>
      </c>
      <c r="E1096" s="36" t="inlineStr">
        <is>
          <t>How far is it in a straight line from Iqaluit to Nairobi?</t>
        </is>
      </c>
      <c r="F1096" s="42" t="n">
        <v>10880</v>
      </c>
      <c r="G1096" s="33" t="inlineStr">
        <is>
          <t>km</t>
        </is>
      </c>
      <c r="H1096" s="35" t="inlineStr">
        <is>
          <t>Hard</t>
        </is>
      </c>
      <c r="I1096" s="33" t="inlineStr">
        <is>
          <t>Computed great-circle distance (city centre to city centre)</t>
        </is>
      </c>
      <c r="J1096" s="35" t="n"/>
      <c r="K1096" s="33" t="n"/>
      <c r="L1096" s="35">
        <f>COUNTIFS($A$2:$A$1501,A1096,$D$2:$D$1501,D1096)</f>
        <v/>
      </c>
    </row>
    <row r="1097">
      <c r="A1097" s="35" t="n">
        <v>220</v>
      </c>
      <c r="B1097" s="41" t="n">
        <v>46519</v>
      </c>
      <c r="C1097" s="35" t="n">
        <v>1</v>
      </c>
      <c r="D1097" s="33" t="inlineStr">
        <is>
          <t>Geography</t>
        </is>
      </c>
      <c r="E1097" s="36" t="inlineStr">
        <is>
          <t>How wide is the Bering Strait at its narrowest point?</t>
        </is>
      </c>
      <c r="F1097" s="42" t="n">
        <v>82</v>
      </c>
      <c r="G1097" s="33" t="inlineStr">
        <is>
          <t>km</t>
        </is>
      </c>
      <c r="H1097" s="35" t="inlineStr">
        <is>
          <t>Medium</t>
        </is>
      </c>
      <c r="I1097" s="33" t="inlineStr">
        <is>
          <t>Britannica</t>
        </is>
      </c>
      <c r="J1097" s="35" t="n"/>
      <c r="K1097" s="33" t="inlineStr">
        <is>
          <t>Added Oct 2026. Spot check before this day goes live.</t>
        </is>
      </c>
      <c r="L1097" s="35">
        <f>COUNTIFS($A$2:$A$1501,A1097,$D$2:$D$1501,D1097)</f>
        <v/>
      </c>
    </row>
    <row r="1098">
      <c r="A1098" s="35" t="n">
        <v>220</v>
      </c>
      <c r="B1098" s="41" t="n">
        <v>46519</v>
      </c>
      <c r="C1098" s="35" t="n">
        <v>2</v>
      </c>
      <c r="D1098" s="33" t="inlineStr">
        <is>
          <t>Human Body</t>
        </is>
      </c>
      <c r="E1098" s="36" t="inlineStr">
        <is>
          <t>At what age do children usually get their first permanent teeth?</t>
        </is>
      </c>
      <c r="F1098" s="42" t="n">
        <v>6</v>
      </c>
      <c r="G1098" s="33" t="inlineStr">
        <is>
          <t>years</t>
        </is>
      </c>
      <c r="H1098" s="35" t="inlineStr">
        <is>
          <t>Medium</t>
        </is>
      </c>
      <c r="I1098" s="33" t="inlineStr">
        <is>
          <t>Canadian Dental Association</t>
        </is>
      </c>
      <c r="J1098" s="35" t="n"/>
      <c r="K1098" s="33" t="inlineStr">
        <is>
          <t>Added Oct 2026. Spot check before this day goes live.</t>
        </is>
      </c>
      <c r="L1098" s="35">
        <f>COUNTIFS($A$2:$A$1501,A1098,$D$2:$D$1501,D1098)</f>
        <v/>
      </c>
    </row>
    <row r="1099">
      <c r="A1099" s="35" t="n">
        <v>220</v>
      </c>
      <c r="B1099" s="41" t="n">
        <v>46519</v>
      </c>
      <c r="C1099" s="35" t="n">
        <v>3</v>
      </c>
      <c r="D1099" s="33" t="inlineStr">
        <is>
          <t>Space and Science</t>
        </is>
      </c>
      <c r="E1099" s="36" t="inlineStr">
        <is>
          <t>How long is a year on Pluto?</t>
        </is>
      </c>
      <c r="F1099" s="42" t="n">
        <v>248</v>
      </c>
      <c r="G1099" s="33" t="inlineStr">
        <is>
          <t>Earth years</t>
        </is>
      </c>
      <c r="H1099" s="35" t="inlineStr">
        <is>
          <t>Hard</t>
        </is>
      </c>
      <c r="I1099" s="33" t="inlineStr">
        <is>
          <t>NASA</t>
        </is>
      </c>
      <c r="J1099" s="35" t="n"/>
      <c r="K1099" s="33" t="inlineStr">
        <is>
          <t>Added Oct 2026. Spot check before this day goes live.</t>
        </is>
      </c>
      <c r="L1099" s="35">
        <f>COUNTIFS($A$2:$A$1501,A1099,$D$2:$D$1501,D1099)</f>
        <v/>
      </c>
    </row>
    <row r="1100">
      <c r="A1100" s="35" t="n">
        <v>220</v>
      </c>
      <c r="B1100" s="41" t="n">
        <v>46519</v>
      </c>
      <c r="C1100" s="35" t="n">
        <v>4</v>
      </c>
      <c r="D1100" s="33" t="inlineStr">
        <is>
          <t>Food and Everyday Life</t>
        </is>
      </c>
      <c r="E1100" s="36" t="inlineStr">
        <is>
          <t>How many calories are in a cup of cooked white rice?</t>
        </is>
      </c>
      <c r="F1100" s="42" t="n">
        <v>205</v>
      </c>
      <c r="G1100" s="33" t="inlineStr">
        <is>
          <t>calories</t>
        </is>
      </c>
      <c r="H1100" s="35" t="inlineStr">
        <is>
          <t>Hard</t>
        </is>
      </c>
      <c r="I1100" s="33" t="inlineStr">
        <is>
          <t>USDA FoodData Central</t>
        </is>
      </c>
      <c r="J1100" s="35" t="n"/>
      <c r="K1100" s="33" t="inlineStr">
        <is>
          <t>Added Oct 2026. Spot check before this day goes live.</t>
        </is>
      </c>
      <c r="L1100" s="35">
        <f>COUNTIFS($A$2:$A$1501,A1100,$D$2:$D$1501,D1100)</f>
        <v/>
      </c>
    </row>
    <row r="1101">
      <c r="A1101" s="35" t="n">
        <v>220</v>
      </c>
      <c r="B1101" s="41" t="n">
        <v>46519</v>
      </c>
      <c r="C1101" s="35" t="n">
        <v>5</v>
      </c>
      <c r="D1101" s="33" t="inlineStr">
        <is>
          <t>Distance of the Day</t>
        </is>
      </c>
      <c r="E1101" s="36" t="inlineStr">
        <is>
          <t>How far is it in a straight line from Lahore to Kathmandu?</t>
        </is>
      </c>
      <c r="F1101" s="42" t="n">
        <v>1140</v>
      </c>
      <c r="G1101" s="33" t="inlineStr">
        <is>
          <t>km</t>
        </is>
      </c>
      <c r="H1101" s="35" t="inlineStr">
        <is>
          <t>Easy</t>
        </is>
      </c>
      <c r="I1101" s="33" t="inlineStr">
        <is>
          <t>Computed great-circle distance (city centre to city centre)</t>
        </is>
      </c>
      <c r="J1101" s="35" t="n"/>
      <c r="K1101" s="33" t="n"/>
      <c r="L1101" s="35">
        <f>COUNTIFS($A$2:$A$1501,A1101,$D$2:$D$1501,D1101)</f>
        <v/>
      </c>
    </row>
    <row r="1102">
      <c r="A1102" s="35" t="n">
        <v>221</v>
      </c>
      <c r="B1102" s="41" t="n">
        <v>46520</v>
      </c>
      <c r="C1102" s="35" t="n">
        <v>1</v>
      </c>
      <c r="D1102" s="33" t="inlineStr">
        <is>
          <t>Movies, Music and Games</t>
        </is>
      </c>
      <c r="E1102" s="36" t="inlineStr">
        <is>
          <t>How many Harry Potter books are in the main series?</t>
        </is>
      </c>
      <c r="F1102" s="42" t="n">
        <v>7</v>
      </c>
      <c r="G1102" s="33" t="inlineStr">
        <is>
          <t>books</t>
        </is>
      </c>
      <c r="H1102" s="35" t="inlineStr">
        <is>
          <t>Easy</t>
        </is>
      </c>
      <c r="I1102" s="33" t="inlineStr">
        <is>
          <t>Bloomsbury</t>
        </is>
      </c>
      <c r="J1102" s="35" t="n"/>
      <c r="K1102" s="33" t="inlineStr">
        <is>
          <t>Added Oct 2026. Spot check before this day goes live.</t>
        </is>
      </c>
      <c r="L1102" s="35">
        <f>COUNTIFS($A$2:$A$1501,A1102,$D$2:$D$1501,D1102)</f>
        <v/>
      </c>
    </row>
    <row r="1103">
      <c r="A1103" s="35" t="n">
        <v>221</v>
      </c>
      <c r="B1103" s="41" t="n">
        <v>46520</v>
      </c>
      <c r="C1103" s="35" t="n">
        <v>2</v>
      </c>
      <c r="D1103" s="33" t="inlineStr">
        <is>
          <t>Buildings and Engineering</t>
        </is>
      </c>
      <c r="E1103" s="36" t="inlineStr">
        <is>
          <t>How many rooms are in the White House?</t>
        </is>
      </c>
      <c r="F1103" s="42" t="n">
        <v>132</v>
      </c>
      <c r="G1103" s="33" t="inlineStr">
        <is>
          <t>rooms</t>
        </is>
      </c>
      <c r="H1103" s="35" t="inlineStr">
        <is>
          <t>Medium</t>
        </is>
      </c>
      <c r="I1103" s="33" t="inlineStr">
        <is>
          <t>White House Historical Association</t>
        </is>
      </c>
      <c r="J1103" s="35" t="n"/>
      <c r="K1103" s="33" t="inlineStr">
        <is>
          <t>Added Oct 2026. Spot check before this day goes live.</t>
        </is>
      </c>
      <c r="L1103" s="35">
        <f>COUNTIFS($A$2:$A$1501,A1103,$D$2:$D$1501,D1103)</f>
        <v/>
      </c>
    </row>
    <row r="1104">
      <c r="A1104" s="35" t="n">
        <v>221</v>
      </c>
      <c r="B1104" s="41" t="n">
        <v>46520</v>
      </c>
      <c r="C1104" s="35" t="n">
        <v>3</v>
      </c>
      <c r="D1104" s="33" t="inlineStr">
        <is>
          <t>Sports</t>
        </is>
      </c>
      <c r="E1104" s="36" t="inlineStr">
        <is>
          <t>How heavy can a golf ball be under the rules?</t>
        </is>
      </c>
      <c r="F1104" s="42" t="n">
        <v>45.93</v>
      </c>
      <c r="G1104" s="33" t="inlineStr">
        <is>
          <t>grams</t>
        </is>
      </c>
      <c r="H1104" s="35" t="inlineStr">
        <is>
          <t>Hard</t>
        </is>
      </c>
      <c r="I1104" s="33" t="inlineStr">
        <is>
          <t>R&amp;A / USGA</t>
        </is>
      </c>
      <c r="J1104" s="35" t="n"/>
      <c r="K1104" s="33" t="inlineStr">
        <is>
          <t>Added Oct 2026. Spot check before this day goes live.</t>
        </is>
      </c>
      <c r="L1104" s="35">
        <f>COUNTIFS($A$2:$A$1501,A1104,$D$2:$D$1501,D1104)</f>
        <v/>
      </c>
    </row>
    <row r="1105">
      <c r="A1105" s="35" t="n">
        <v>221</v>
      </c>
      <c r="B1105" s="41" t="n">
        <v>46520</v>
      </c>
      <c r="C1105" s="35" t="n">
        <v>4</v>
      </c>
      <c r="D1105" s="33" t="inlineStr">
        <is>
          <t>History</t>
        </is>
      </c>
      <c r="E1105" s="36" t="inlineStr">
        <is>
          <t>How many years did Augustus rule as Roman emperor?</t>
        </is>
      </c>
      <c r="F1105" s="42" t="n">
        <v>41</v>
      </c>
      <c r="G1105" s="33" t="inlineStr">
        <is>
          <t>years</t>
        </is>
      </c>
      <c r="H1105" s="35" t="inlineStr">
        <is>
          <t>Hard</t>
        </is>
      </c>
      <c r="I1105" s="33" t="inlineStr">
        <is>
          <t>Britannica</t>
        </is>
      </c>
      <c r="J1105" s="35" t="n"/>
      <c r="K1105" s="33" t="inlineStr">
        <is>
          <t>Added Oct 2026. Spot check before this day goes live.</t>
        </is>
      </c>
      <c r="L1105" s="35">
        <f>COUNTIFS($A$2:$A$1501,A1105,$D$2:$D$1501,D1105)</f>
        <v/>
      </c>
    </row>
    <row r="1106">
      <c r="A1106" s="35" t="n">
        <v>221</v>
      </c>
      <c r="B1106" s="41" t="n">
        <v>46520</v>
      </c>
      <c r="C1106" s="35" t="n">
        <v>5</v>
      </c>
      <c r="D1106" s="33" t="inlineStr">
        <is>
          <t>Distance of the Day</t>
        </is>
      </c>
      <c r="E1106" s="36" t="inlineStr">
        <is>
          <t>How far is it in a straight line from Vancouver to Havana?</t>
        </is>
      </c>
      <c r="F1106" s="42" t="n">
        <v>4590</v>
      </c>
      <c r="G1106" s="33" t="inlineStr">
        <is>
          <t>km</t>
        </is>
      </c>
      <c r="H1106" s="35" t="inlineStr">
        <is>
          <t>Medium</t>
        </is>
      </c>
      <c r="I1106" s="33" t="inlineStr">
        <is>
          <t>Computed great-circle distance (city centre to city centre)</t>
        </is>
      </c>
      <c r="J1106" s="35" t="n"/>
      <c r="K1106" s="33" t="n"/>
      <c r="L1106" s="35">
        <f>COUNTIFS($A$2:$A$1501,A1106,$D$2:$D$1501,D1106)</f>
        <v/>
      </c>
    </row>
    <row r="1107">
      <c r="A1107" s="35" t="n">
        <v>222</v>
      </c>
      <c r="B1107" s="41" t="n">
        <v>46521</v>
      </c>
      <c r="C1107" s="35" t="n">
        <v>1</v>
      </c>
      <c r="D1107" s="33" t="inlineStr">
        <is>
          <t>Animals and Nature</t>
        </is>
      </c>
      <c r="E1107" s="36" t="inlineStr">
        <is>
          <t>How many stomach compartments does a cow have?</t>
        </is>
      </c>
      <c r="F1107" s="42" t="n">
        <v>4</v>
      </c>
      <c r="G1107" s="33" t="inlineStr">
        <is>
          <t>compartments</t>
        </is>
      </c>
      <c r="H1107" s="35" t="inlineStr">
        <is>
          <t>Easy</t>
        </is>
      </c>
      <c r="I1107" s="33" t="inlineStr">
        <is>
          <t>Britannica</t>
        </is>
      </c>
      <c r="J1107" s="35" t="n"/>
      <c r="K1107" s="33" t="inlineStr">
        <is>
          <t>Added Oct 2026. Spot check before this day goes live.</t>
        </is>
      </c>
      <c r="L1107" s="35">
        <f>COUNTIFS($A$2:$A$1501,A1107,$D$2:$D$1501,D1107)</f>
        <v/>
      </c>
    </row>
    <row r="1108">
      <c r="A1108" s="35" t="n">
        <v>222</v>
      </c>
      <c r="B1108" s="41" t="n">
        <v>46521</v>
      </c>
      <c r="C1108" s="35" t="n">
        <v>2</v>
      </c>
      <c r="D1108" s="33" t="inlineStr">
        <is>
          <t>Canada</t>
        </is>
      </c>
      <c r="E1108" s="36" t="inlineStr">
        <is>
          <t>How many players does each CFL team have on the field?</t>
        </is>
      </c>
      <c r="F1108" s="42" t="n">
        <v>12</v>
      </c>
      <c r="G1108" s="33" t="inlineStr">
        <is>
          <t>players</t>
        </is>
      </c>
      <c r="H1108" s="35" t="inlineStr">
        <is>
          <t>Medium</t>
        </is>
      </c>
      <c r="I1108" s="33" t="inlineStr">
        <is>
          <t>CFL rulebook</t>
        </is>
      </c>
      <c r="J1108" s="35" t="n"/>
      <c r="K1108" s="33" t="inlineStr">
        <is>
          <t>Added Oct 2026. Spot check before this day goes live.</t>
        </is>
      </c>
      <c r="L1108" s="35">
        <f>COUNTIFS($A$2:$A$1501,A1108,$D$2:$D$1501,D1108)</f>
        <v/>
      </c>
    </row>
    <row r="1109">
      <c r="A1109" s="35" t="n">
        <v>222</v>
      </c>
      <c r="B1109" s="41" t="n">
        <v>46521</v>
      </c>
      <c r="C1109" s="35" t="n">
        <v>3</v>
      </c>
      <c r="D1109" s="33" t="inlineStr">
        <is>
          <t>Food and Everyday Life</t>
        </is>
      </c>
      <c r="E1109" s="36" t="inlineStr">
        <is>
          <t>How many grams are in an ounce?</t>
        </is>
      </c>
      <c r="F1109" s="42" t="n">
        <v>28.35</v>
      </c>
      <c r="G1109" s="33" t="inlineStr">
        <is>
          <t>grams</t>
        </is>
      </c>
      <c r="H1109" s="35" t="inlineStr">
        <is>
          <t>Medium</t>
        </is>
      </c>
      <c r="I1109" s="33" t="inlineStr">
        <is>
          <t>NIST</t>
        </is>
      </c>
      <c r="J1109" s="35" t="n"/>
      <c r="K1109" s="33" t="inlineStr">
        <is>
          <t>Added Oct 2026. Spot check before this day goes live.</t>
        </is>
      </c>
      <c r="L1109" s="35">
        <f>COUNTIFS($A$2:$A$1501,A1109,$D$2:$D$1501,D1109)</f>
        <v/>
      </c>
    </row>
    <row r="1110">
      <c r="A1110" s="35" t="n">
        <v>222</v>
      </c>
      <c r="B1110" s="41" t="n">
        <v>46521</v>
      </c>
      <c r="C1110" s="35" t="n">
        <v>4</v>
      </c>
      <c r="D1110" s="33" t="inlineStr">
        <is>
          <t>Geography</t>
        </is>
      </c>
      <c r="E1110" s="36" t="inlineStr">
        <is>
          <t>How tall is Mount Sinai?</t>
        </is>
      </c>
      <c r="F1110" s="42" t="n">
        <v>2285</v>
      </c>
      <c r="G1110" s="33" t="inlineStr">
        <is>
          <t>metres</t>
        </is>
      </c>
      <c r="H1110" s="35" t="inlineStr">
        <is>
          <t>Hard</t>
        </is>
      </c>
      <c r="I1110" s="33" t="inlineStr">
        <is>
          <t>Britannica</t>
        </is>
      </c>
      <c r="J1110" s="35" t="n"/>
      <c r="K1110" s="33" t="inlineStr">
        <is>
          <t>Added Oct 2026. Spot check before this day goes live.</t>
        </is>
      </c>
      <c r="L1110" s="35">
        <f>COUNTIFS($A$2:$A$1501,A1110,$D$2:$D$1501,D1110)</f>
        <v/>
      </c>
    </row>
    <row r="1111">
      <c r="A1111" s="35" t="n">
        <v>222</v>
      </c>
      <c r="B1111" s="41" t="n">
        <v>46521</v>
      </c>
      <c r="C1111" s="35" t="n">
        <v>5</v>
      </c>
      <c r="D1111" s="33" t="inlineStr">
        <is>
          <t>Distance of the Day</t>
        </is>
      </c>
      <c r="E1111" s="36" t="inlineStr">
        <is>
          <t>How far is it in a straight line from Vancouver to Islamabad?</t>
        </is>
      </c>
      <c r="F1111" s="42" t="n">
        <v>10650</v>
      </c>
      <c r="G1111" s="33" t="inlineStr">
        <is>
          <t>km</t>
        </is>
      </c>
      <c r="H1111" s="35" t="inlineStr">
        <is>
          <t>Hard</t>
        </is>
      </c>
      <c r="I1111" s="33" t="inlineStr">
        <is>
          <t>Computed great-circle distance (city centre to city centre)</t>
        </is>
      </c>
      <c r="J1111" s="35" t="n"/>
      <c r="K1111" s="33" t="n"/>
      <c r="L1111" s="35">
        <f>COUNTIFS($A$2:$A$1501,A1111,$D$2:$D$1501,D1111)</f>
        <v/>
      </c>
    </row>
    <row r="1112">
      <c r="A1112" s="35" t="n">
        <v>223</v>
      </c>
      <c r="B1112" s="41" t="n">
        <v>46522</v>
      </c>
      <c r="C1112" s="35" t="n">
        <v>1</v>
      </c>
      <c r="D1112" s="33" t="inlineStr">
        <is>
          <t>Movies, Music and Games</t>
        </is>
      </c>
      <c r="E1112" s="36" t="inlineStr">
        <is>
          <t>How long is E.T. the Extra-Terrestrial?</t>
        </is>
      </c>
      <c r="F1112" s="42" t="n">
        <v>115</v>
      </c>
      <c r="G1112" s="33" t="inlineStr">
        <is>
          <t>minutes</t>
        </is>
      </c>
      <c r="H1112" s="35" t="inlineStr">
        <is>
          <t>Medium</t>
        </is>
      </c>
      <c r="I1112" s="33" t="inlineStr">
        <is>
          <t>IMDb</t>
        </is>
      </c>
      <c r="J1112" s="35" t="n"/>
      <c r="K1112" s="33" t="inlineStr">
        <is>
          <t>Added Oct 2026. Spot check before this day goes live.</t>
        </is>
      </c>
      <c r="L1112" s="35">
        <f>COUNTIFS($A$2:$A$1501,A1112,$D$2:$D$1501,D1112)</f>
        <v/>
      </c>
    </row>
    <row r="1113">
      <c r="A1113" s="35" t="n">
        <v>223</v>
      </c>
      <c r="B1113" s="41" t="n">
        <v>46522</v>
      </c>
      <c r="C1113" s="35" t="n">
        <v>2</v>
      </c>
      <c r="D1113" s="33" t="inlineStr">
        <is>
          <t>Human Body</t>
        </is>
      </c>
      <c r="E1113" s="36" t="inlineStr">
        <is>
          <t>How many permanent teeth do adults have, not counting wisdom teeth?</t>
        </is>
      </c>
      <c r="F1113" s="42" t="n">
        <v>28</v>
      </c>
      <c r="G1113" s="33" t="inlineStr">
        <is>
          <t>teeth</t>
        </is>
      </c>
      <c r="H1113" s="35" t="inlineStr">
        <is>
          <t>Medium</t>
        </is>
      </c>
      <c r="I1113" s="33" t="inlineStr">
        <is>
          <t>Canadian Dental Association</t>
        </is>
      </c>
      <c r="J1113" s="35" t="n"/>
      <c r="K1113" s="33" t="inlineStr">
        <is>
          <t>Added Oct 2026. Spot check before this day goes live.</t>
        </is>
      </c>
      <c r="L1113" s="35">
        <f>COUNTIFS($A$2:$A$1501,A1113,$D$2:$D$1501,D1113)</f>
        <v/>
      </c>
    </row>
    <row r="1114">
      <c r="A1114" s="35" t="n">
        <v>223</v>
      </c>
      <c r="B1114" s="41" t="n">
        <v>46522</v>
      </c>
      <c r="C1114" s="35" t="n">
        <v>3</v>
      </c>
      <c r="D1114" s="33" t="inlineStr">
        <is>
          <t>Space and Science</t>
        </is>
      </c>
      <c r="E1114" s="36" t="inlineStr">
        <is>
          <t>How many Earth days long is a day on Mercury, sunrise to sunrise?</t>
        </is>
      </c>
      <c r="F1114" s="42" t="n">
        <v>176</v>
      </c>
      <c r="G1114" s="33" t="inlineStr">
        <is>
          <t>days</t>
        </is>
      </c>
      <c r="H1114" s="35" t="inlineStr">
        <is>
          <t>Hard</t>
        </is>
      </c>
      <c r="I1114" s="33" t="inlineStr">
        <is>
          <t>NASA</t>
        </is>
      </c>
      <c r="J1114" s="35" t="n"/>
      <c r="K1114" s="33" t="inlineStr">
        <is>
          <t>Added Oct 2026. Spot check before this day goes live.</t>
        </is>
      </c>
      <c r="L1114" s="35">
        <f>COUNTIFS($A$2:$A$1501,A1114,$D$2:$D$1501,D1114)</f>
        <v/>
      </c>
    </row>
    <row r="1115">
      <c r="A1115" s="35" t="n">
        <v>223</v>
      </c>
      <c r="B1115" s="41" t="n">
        <v>46522</v>
      </c>
      <c r="C1115" s="35" t="n">
        <v>4</v>
      </c>
      <c r="D1115" s="33" t="inlineStr">
        <is>
          <t>History</t>
        </is>
      </c>
      <c r="E1115" s="36" t="inlineStr">
        <is>
          <t>How many elephants did Hannibal take across the Alps?</t>
        </is>
      </c>
      <c r="F1115" s="42" t="n">
        <v>37</v>
      </c>
      <c r="G1115" s="33" t="inlineStr">
        <is>
          <t>elephants</t>
        </is>
      </c>
      <c r="H1115" s="35" t="inlineStr">
        <is>
          <t>Hard</t>
        </is>
      </c>
      <c r="I1115" s="33" t="inlineStr">
        <is>
          <t>Britannica</t>
        </is>
      </c>
      <c r="J1115" s="35" t="n"/>
      <c r="K1115" s="33" t="inlineStr">
        <is>
          <t>Added Oct 2026. Spot check before this day goes live.</t>
        </is>
      </c>
      <c r="L1115" s="35">
        <f>COUNTIFS($A$2:$A$1501,A1115,$D$2:$D$1501,D1115)</f>
        <v/>
      </c>
    </row>
    <row r="1116">
      <c r="A1116" s="35" t="n">
        <v>223</v>
      </c>
      <c r="B1116" s="41" t="n">
        <v>46522</v>
      </c>
      <c r="C1116" s="35" t="n">
        <v>5</v>
      </c>
      <c r="D1116" s="33" t="inlineStr">
        <is>
          <t>Distance of the Day</t>
        </is>
      </c>
      <c r="E1116" s="36" t="inlineStr">
        <is>
          <t>How far is it in a straight line from Saskatoon to Sudbury?</t>
        </is>
      </c>
      <c r="F1116" s="42" t="n">
        <v>1950</v>
      </c>
      <c r="G1116" s="33" t="inlineStr">
        <is>
          <t>km</t>
        </is>
      </c>
      <c r="H1116" s="35" t="inlineStr">
        <is>
          <t>Medium</t>
        </is>
      </c>
      <c r="I1116" s="33" t="inlineStr">
        <is>
          <t>Computed great-circle distance (city centre to city centre)</t>
        </is>
      </c>
      <c r="J1116" s="35" t="n"/>
      <c r="K1116" s="33" t="n"/>
      <c r="L1116" s="35">
        <f>COUNTIFS($A$2:$A$1501,A1116,$D$2:$D$1501,D1116)</f>
        <v/>
      </c>
    </row>
    <row r="1117">
      <c r="A1117" s="35" t="n">
        <v>224</v>
      </c>
      <c r="B1117" s="41" t="n">
        <v>46523</v>
      </c>
      <c r="C1117" s="35" t="n">
        <v>1</v>
      </c>
      <c r="D1117" s="33" t="inlineStr">
        <is>
          <t>Geography</t>
        </is>
      </c>
      <c r="E1117" s="36" t="inlineStr">
        <is>
          <t>How many states does Australia have?</t>
        </is>
      </c>
      <c r="F1117" s="42" t="n">
        <v>6</v>
      </c>
      <c r="G1117" s="33" t="inlineStr">
        <is>
          <t>states</t>
        </is>
      </c>
      <c r="H1117" s="35" t="inlineStr">
        <is>
          <t>Easy</t>
        </is>
      </c>
      <c r="I1117" s="33" t="inlineStr">
        <is>
          <t>Australian government</t>
        </is>
      </c>
      <c r="J1117" s="35" t="n"/>
      <c r="K1117" s="33" t="inlineStr">
        <is>
          <t>Added Oct 2026. Spot check before this day goes live.</t>
        </is>
      </c>
      <c r="L1117" s="35">
        <f>COUNTIFS($A$2:$A$1501,A1117,$D$2:$D$1501,D1117)</f>
        <v/>
      </c>
    </row>
    <row r="1118">
      <c r="A1118" s="35" t="n">
        <v>224</v>
      </c>
      <c r="B1118" s="41" t="n">
        <v>46523</v>
      </c>
      <c r="C1118" s="35" t="n">
        <v>2</v>
      </c>
      <c r="D1118" s="33" t="inlineStr">
        <is>
          <t>Canada</t>
        </is>
      </c>
      <c r="E1118" s="36" t="inlineStr">
        <is>
          <t>How long is the Capilano Suspension Bridge in North Vancouver?</t>
        </is>
      </c>
      <c r="F1118" s="42" t="n">
        <v>140</v>
      </c>
      <c r="G1118" s="33" t="inlineStr">
        <is>
          <t>metres</t>
        </is>
      </c>
      <c r="H1118" s="35" t="inlineStr">
        <is>
          <t>Medium</t>
        </is>
      </c>
      <c r="I1118" s="33" t="inlineStr">
        <is>
          <t>Capilano Suspension Bridge Park</t>
        </is>
      </c>
      <c r="J1118" s="35" t="n"/>
      <c r="K1118" s="33" t="inlineStr">
        <is>
          <t>Added Oct 2026. Spot check before this day goes live.</t>
        </is>
      </c>
      <c r="L1118" s="35">
        <f>COUNTIFS($A$2:$A$1501,A1118,$D$2:$D$1501,D1118)</f>
        <v/>
      </c>
    </row>
    <row r="1119">
      <c r="A1119" s="35" t="n">
        <v>224</v>
      </c>
      <c r="B1119" s="41" t="n">
        <v>46523</v>
      </c>
      <c r="C1119" s="35" t="n">
        <v>3</v>
      </c>
      <c r="D1119" s="33" t="inlineStr">
        <is>
          <t>Sports</t>
        </is>
      </c>
      <c r="E1119" s="36" t="inlineStr">
        <is>
          <t>How many international centuries did Sachin Tendulkar score?</t>
        </is>
      </c>
      <c r="F1119" s="42" t="n">
        <v>100</v>
      </c>
      <c r="G1119" s="33" t="inlineStr">
        <is>
          <t>centuries</t>
        </is>
      </c>
      <c r="H1119" s="35" t="inlineStr">
        <is>
          <t>Medium</t>
        </is>
      </c>
      <c r="I1119" s="33" t="inlineStr">
        <is>
          <t>ICC</t>
        </is>
      </c>
      <c r="J1119" s="35" t="n"/>
      <c r="K1119" s="33" t="inlineStr">
        <is>
          <t>Added Oct 2026. Spot check before this day goes live.</t>
        </is>
      </c>
      <c r="L1119" s="35">
        <f>COUNTIFS($A$2:$A$1501,A1119,$D$2:$D$1501,D1119)</f>
        <v/>
      </c>
    </row>
    <row r="1120">
      <c r="A1120" s="35" t="n">
        <v>224</v>
      </c>
      <c r="B1120" s="41" t="n">
        <v>46523</v>
      </c>
      <c r="C1120" s="35" t="n">
        <v>4</v>
      </c>
      <c r="D1120" s="33" t="inlineStr">
        <is>
          <t>Buildings and Engineering</t>
        </is>
      </c>
      <c r="E1120" s="36" t="inlineStr">
        <is>
          <t>How long is the Statue of Liberty's index finger?</t>
        </is>
      </c>
      <c r="F1120" s="42" t="n">
        <v>2.44</v>
      </c>
      <c r="G1120" s="33" t="inlineStr">
        <is>
          <t>metres</t>
        </is>
      </c>
      <c r="H1120" s="35" t="inlineStr">
        <is>
          <t>Hard</t>
        </is>
      </c>
      <c r="I1120" s="33" t="inlineStr">
        <is>
          <t>US National Park Service</t>
        </is>
      </c>
      <c r="J1120" s="35" t="n"/>
      <c r="K1120" s="33" t="inlineStr">
        <is>
          <t>Added Oct 2026. Spot check before this day goes live.</t>
        </is>
      </c>
      <c r="L1120" s="35">
        <f>COUNTIFS($A$2:$A$1501,A1120,$D$2:$D$1501,D1120)</f>
        <v/>
      </c>
    </row>
    <row r="1121">
      <c r="A1121" s="35" t="n">
        <v>224</v>
      </c>
      <c r="B1121" s="41" t="n">
        <v>46523</v>
      </c>
      <c r="C1121" s="35" t="n">
        <v>5</v>
      </c>
      <c r="D1121" s="33" t="inlineStr">
        <is>
          <t>Distance of the Day</t>
        </is>
      </c>
      <c r="E1121" s="36" t="inlineStr">
        <is>
          <t>How far is it in a straight line from Athens to Jerusalem?</t>
        </is>
      </c>
      <c r="F1121" s="42" t="n">
        <v>1250</v>
      </c>
      <c r="G1121" s="33" t="inlineStr">
        <is>
          <t>km</t>
        </is>
      </c>
      <c r="H1121" s="35" t="inlineStr">
        <is>
          <t>Easy</t>
        </is>
      </c>
      <c r="I1121" s="33" t="inlineStr">
        <is>
          <t>Computed great-circle distance (city centre to city centre)</t>
        </is>
      </c>
      <c r="J1121" s="35" t="n"/>
      <c r="K1121" s="33" t="n"/>
      <c r="L1121" s="35">
        <f>COUNTIFS($A$2:$A$1501,A1121,$D$2:$D$1501,D1121)</f>
        <v/>
      </c>
    </row>
    <row r="1122">
      <c r="A1122" s="35" t="n">
        <v>225</v>
      </c>
      <c r="B1122" s="41" t="n">
        <v>46524</v>
      </c>
      <c r="C1122" s="35" t="n">
        <v>1</v>
      </c>
      <c r="D1122" s="33" t="inlineStr">
        <is>
          <t>Human Body</t>
        </is>
      </c>
      <c r="E1122" s="36" t="inlineStr">
        <is>
          <t>How many kidneys does a human have?</t>
        </is>
      </c>
      <c r="F1122" s="42" t="n">
        <v>2</v>
      </c>
      <c r="G1122" s="33" t="inlineStr">
        <is>
          <t>kidneys</t>
        </is>
      </c>
      <c r="H1122" s="35" t="inlineStr">
        <is>
          <t>Easy</t>
        </is>
      </c>
      <c r="I1122" s="33" t="inlineStr">
        <is>
          <t>Kidney Foundation of Canada</t>
        </is>
      </c>
      <c r="J1122" s="35" t="n"/>
      <c r="K1122" s="33" t="inlineStr">
        <is>
          <t>Added Oct 2026. Spot check before this day goes live.</t>
        </is>
      </c>
      <c r="L1122" s="35">
        <f>COUNTIFS($A$2:$A$1501,A1122,$D$2:$D$1501,D1122)</f>
        <v/>
      </c>
    </row>
    <row r="1123">
      <c r="A1123" s="35" t="n">
        <v>225</v>
      </c>
      <c r="B1123" s="41" t="n">
        <v>46524</v>
      </c>
      <c r="C1123" s="35" t="n">
        <v>2</v>
      </c>
      <c r="D1123" s="33" t="inlineStr">
        <is>
          <t>Food and Everyday Life</t>
        </is>
      </c>
      <c r="E1123" s="36" t="inlineStr">
        <is>
          <t>What oven temperature do most cookie recipes call for, in Fahrenheit?</t>
        </is>
      </c>
      <c r="F1123" s="42" t="n">
        <v>350</v>
      </c>
      <c r="G1123" s="33" t="inlineStr">
        <is>
          <t>°F</t>
        </is>
      </c>
      <c r="H1123" s="35" t="inlineStr">
        <is>
          <t>Medium</t>
        </is>
      </c>
      <c r="I1123" s="33" t="inlineStr">
        <is>
          <t>Common recipe standard</t>
        </is>
      </c>
      <c r="J1123" s="35" t="n"/>
      <c r="K1123" s="33" t="inlineStr">
        <is>
          <t>Added Oct 2026. Spot check before this day goes live.</t>
        </is>
      </c>
      <c r="L1123" s="35">
        <f>COUNTIFS($A$2:$A$1501,A1123,$D$2:$D$1501,D1123)</f>
        <v/>
      </c>
    </row>
    <row r="1124">
      <c r="A1124" s="35" t="n">
        <v>225</v>
      </c>
      <c r="B1124" s="41" t="n">
        <v>46524</v>
      </c>
      <c r="C1124" s="35" t="n">
        <v>3</v>
      </c>
      <c r="D1124" s="33" t="inlineStr">
        <is>
          <t>Space and Science</t>
        </is>
      </c>
      <c r="E1124" s="36" t="inlineStr">
        <is>
          <t>How long did the Voyager 1 probe take to reach Jupiter?</t>
        </is>
      </c>
      <c r="F1124" s="42" t="n">
        <v>18</v>
      </c>
      <c r="G1124" s="33" t="inlineStr">
        <is>
          <t>months</t>
        </is>
      </c>
      <c r="H1124" s="35" t="inlineStr">
        <is>
          <t>Hard</t>
        </is>
      </c>
      <c r="I1124" s="33" t="inlineStr">
        <is>
          <t>NASA JPL</t>
        </is>
      </c>
      <c r="J1124" s="35" t="n"/>
      <c r="K1124" s="33" t="inlineStr">
        <is>
          <t>Added Oct 2026. Spot check before this day goes live.</t>
        </is>
      </c>
      <c r="L1124" s="35">
        <f>COUNTIFS($A$2:$A$1501,A1124,$D$2:$D$1501,D1124)</f>
        <v/>
      </c>
    </row>
    <row r="1125">
      <c r="A1125" s="35" t="n">
        <v>225</v>
      </c>
      <c r="B1125" s="41" t="n">
        <v>46524</v>
      </c>
      <c r="C1125" s="35" t="n">
        <v>4</v>
      </c>
      <c r="D1125" s="33" t="inlineStr">
        <is>
          <t>History</t>
        </is>
      </c>
      <c r="E1125" s="36" t="inlineStr">
        <is>
          <t>How many years did the Byzantine emperor Justinian reign?</t>
        </is>
      </c>
      <c r="F1125" s="42" t="n">
        <v>38</v>
      </c>
      <c r="G1125" s="33" t="inlineStr">
        <is>
          <t>years</t>
        </is>
      </c>
      <c r="H1125" s="35" t="inlineStr">
        <is>
          <t>Hard</t>
        </is>
      </c>
      <c r="I1125" s="33" t="inlineStr">
        <is>
          <t>Britannica</t>
        </is>
      </c>
      <c r="J1125" s="35" t="n"/>
      <c r="K1125" s="33" t="inlineStr">
        <is>
          <t>Added Oct 2026. Spot check before this day goes live.</t>
        </is>
      </c>
      <c r="L1125" s="35">
        <f>COUNTIFS($A$2:$A$1501,A1125,$D$2:$D$1501,D1125)</f>
        <v/>
      </c>
    </row>
    <row r="1126">
      <c r="A1126" s="35" t="n">
        <v>225</v>
      </c>
      <c r="B1126" s="41" t="n">
        <v>46524</v>
      </c>
      <c r="C1126" s="35" t="n">
        <v>5</v>
      </c>
      <c r="D1126" s="33" t="inlineStr">
        <is>
          <t>Distance of the Day</t>
        </is>
      </c>
      <c r="E1126" s="36" t="inlineStr">
        <is>
          <t>How far is it in a straight line from Thunder Bay to Kathmandu?</t>
        </is>
      </c>
      <c r="F1126" s="42" t="n">
        <v>11540</v>
      </c>
      <c r="G1126" s="33" t="inlineStr">
        <is>
          <t>km</t>
        </is>
      </c>
      <c r="H1126" s="35" t="inlineStr">
        <is>
          <t>Hard</t>
        </is>
      </c>
      <c r="I1126" s="33" t="inlineStr">
        <is>
          <t>Computed great-circle distance (city centre to city centre)</t>
        </is>
      </c>
      <c r="J1126" s="35" t="n"/>
      <c r="K1126" s="33" t="n"/>
      <c r="L1126" s="35">
        <f>COUNTIFS($A$2:$A$1501,A1126,$D$2:$D$1501,D1126)</f>
        <v/>
      </c>
    </row>
    <row r="1127">
      <c r="A1127" s="35" t="n">
        <v>226</v>
      </c>
      <c r="B1127" s="41" t="n">
        <v>46525</v>
      </c>
      <c r="C1127" s="35" t="n">
        <v>1</v>
      </c>
      <c r="D1127" s="33" t="inlineStr">
        <is>
          <t>Movies, Music and Games</t>
        </is>
      </c>
      <c r="E1127" s="36" t="inlineStr">
        <is>
          <t>How long is Joker (2019)?</t>
        </is>
      </c>
      <c r="F1127" s="42" t="n">
        <v>122</v>
      </c>
      <c r="G1127" s="33" t="inlineStr">
        <is>
          <t>minutes</t>
        </is>
      </c>
      <c r="H1127" s="35" t="inlineStr">
        <is>
          <t>Medium</t>
        </is>
      </c>
      <c r="I1127" s="33" t="inlineStr">
        <is>
          <t>IMDb</t>
        </is>
      </c>
      <c r="J1127" s="35" t="n"/>
      <c r="K1127" s="33" t="inlineStr">
        <is>
          <t>Added Oct 2026. Spot check before this day goes live.</t>
        </is>
      </c>
      <c r="L1127" s="35">
        <f>COUNTIFS($A$2:$A$1501,A1127,$D$2:$D$1501,D1127)</f>
        <v/>
      </c>
    </row>
    <row r="1128">
      <c r="A1128" s="35" t="n">
        <v>226</v>
      </c>
      <c r="B1128" s="41" t="n">
        <v>46525</v>
      </c>
      <c r="C1128" s="35" t="n">
        <v>2</v>
      </c>
      <c r="D1128" s="33" t="inlineStr">
        <is>
          <t>Canada</t>
        </is>
      </c>
      <c r="E1128" s="36" t="inlineStr">
        <is>
          <t>How tall are Montmorency Falls near Quebec City?</t>
        </is>
      </c>
      <c r="F1128" s="42" t="n">
        <v>83</v>
      </c>
      <c r="G1128" s="33" t="inlineStr">
        <is>
          <t>metres</t>
        </is>
      </c>
      <c r="H1128" s="35" t="inlineStr">
        <is>
          <t>Medium</t>
        </is>
      </c>
      <c r="I1128" s="33" t="inlineStr">
        <is>
          <t>Sépaq</t>
        </is>
      </c>
      <c r="J1128" s="35" t="n"/>
      <c r="K1128" s="33" t="inlineStr">
        <is>
          <t>Added Oct 2026. Spot check before this day goes live.</t>
        </is>
      </c>
      <c r="L1128" s="35">
        <f>COUNTIFS($A$2:$A$1501,A1128,$D$2:$D$1501,D1128)</f>
        <v/>
      </c>
    </row>
    <row r="1129">
      <c r="A1129" s="35" t="n">
        <v>226</v>
      </c>
      <c r="B1129" s="41" t="n">
        <v>46525</v>
      </c>
      <c r="C1129" s="35" t="n">
        <v>3</v>
      </c>
      <c r="D1129" s="33" t="inlineStr">
        <is>
          <t>Buildings and Engineering</t>
        </is>
      </c>
      <c r="E1129" s="36" t="inlineStr">
        <is>
          <t>How many people can Michigan Stadium, the Big House, hold?</t>
        </is>
      </c>
      <c r="F1129" s="42" t="n">
        <v>107601</v>
      </c>
      <c r="G1129" s="33" t="inlineStr">
        <is>
          <t>people</t>
        </is>
      </c>
      <c r="H1129" s="35" t="inlineStr">
        <is>
          <t>Hard</t>
        </is>
      </c>
      <c r="I1129" s="33" t="inlineStr">
        <is>
          <t>University of Michigan</t>
        </is>
      </c>
      <c r="J1129" s="35" t="n"/>
      <c r="K1129" s="33" t="inlineStr">
        <is>
          <t>Added Oct 2026. Spot check before this day goes live.</t>
        </is>
      </c>
      <c r="L1129" s="35">
        <f>COUNTIFS($A$2:$A$1501,A1129,$D$2:$D$1501,D1129)</f>
        <v/>
      </c>
    </row>
    <row r="1130">
      <c r="A1130" s="35" t="n">
        <v>226</v>
      </c>
      <c r="B1130" s="41" t="n">
        <v>46525</v>
      </c>
      <c r="C1130" s="35" t="n">
        <v>4</v>
      </c>
      <c r="D1130" s="33" t="inlineStr">
        <is>
          <t>Animals and Nature</t>
        </is>
      </c>
      <c r="E1130" s="36" t="inlineStr">
        <is>
          <t>How powerful a shock can an electric eel deliver?</t>
        </is>
      </c>
      <c r="F1130" s="42" t="n">
        <v>860</v>
      </c>
      <c r="G1130" s="33" t="inlineStr">
        <is>
          <t>volts</t>
        </is>
      </c>
      <c r="H1130" s="35" t="inlineStr">
        <is>
          <t>Hard</t>
        </is>
      </c>
      <c r="I1130" s="33" t="inlineStr">
        <is>
          <t>Nature Communications (2019)</t>
        </is>
      </c>
      <c r="J1130" s="35" t="n"/>
      <c r="K1130" s="33" t="inlineStr">
        <is>
          <t>Added Oct 2026. Spot check before this day goes live.</t>
        </is>
      </c>
      <c r="L1130" s="35">
        <f>COUNTIFS($A$2:$A$1501,A1130,$D$2:$D$1501,D1130)</f>
        <v/>
      </c>
    </row>
    <row r="1131">
      <c r="A1131" s="35" t="n">
        <v>226</v>
      </c>
      <c r="B1131" s="41" t="n">
        <v>46525</v>
      </c>
      <c r="C1131" s="35" t="n">
        <v>5</v>
      </c>
      <c r="D1131" s="33" t="inlineStr">
        <is>
          <t>Distance of the Day</t>
        </is>
      </c>
      <c r="E1131" s="36" t="inlineStr">
        <is>
          <t>How far is it in a straight line from Saskatoon to Phoenix?</t>
        </is>
      </c>
      <c r="F1131" s="42" t="n">
        <v>2120</v>
      </c>
      <c r="G1131" s="33" t="inlineStr">
        <is>
          <t>km</t>
        </is>
      </c>
      <c r="H1131" s="35" t="inlineStr">
        <is>
          <t>Medium</t>
        </is>
      </c>
      <c r="I1131" s="33" t="inlineStr">
        <is>
          <t>Computed great-circle distance (city centre to city centre)</t>
        </is>
      </c>
      <c r="J1131" s="35" t="n"/>
      <c r="K1131" s="33" t="n"/>
      <c r="L1131" s="35">
        <f>COUNTIFS($A$2:$A$1501,A1131,$D$2:$D$1501,D1131)</f>
        <v/>
      </c>
    </row>
    <row r="1132">
      <c r="A1132" s="35" t="n">
        <v>227</v>
      </c>
      <c r="B1132" s="41" t="n">
        <v>46526</v>
      </c>
      <c r="C1132" s="35" t="n">
        <v>1</v>
      </c>
      <c r="D1132" s="33" t="inlineStr">
        <is>
          <t>Food and Everyday Life</t>
        </is>
      </c>
      <c r="E1132" s="36" t="inlineStr">
        <is>
          <t>How many millilitres are in a teaspoon?</t>
        </is>
      </c>
      <c r="F1132" s="42" t="n">
        <v>5</v>
      </c>
      <c r="G1132" s="33" t="inlineStr">
        <is>
          <t>mL</t>
        </is>
      </c>
      <c r="H1132" s="35" t="inlineStr">
        <is>
          <t>Easy</t>
        </is>
      </c>
      <c r="I1132" s="33" t="inlineStr">
        <is>
          <t>Health Canada</t>
        </is>
      </c>
      <c r="J1132" s="35" t="n"/>
      <c r="K1132" s="33" t="inlineStr">
        <is>
          <t>Added Oct 2026. Spot check before this day goes live.</t>
        </is>
      </c>
      <c r="L1132" s="35">
        <f>COUNTIFS($A$2:$A$1501,A1132,$D$2:$D$1501,D1132)</f>
        <v/>
      </c>
    </row>
    <row r="1133">
      <c r="A1133" s="35" t="n">
        <v>227</v>
      </c>
      <c r="B1133" s="41" t="n">
        <v>46526</v>
      </c>
      <c r="C1133" s="35" t="n">
        <v>2</v>
      </c>
      <c r="D1133" s="33" t="inlineStr">
        <is>
          <t>Sports</t>
        </is>
      </c>
      <c r="E1133" s="36" t="inlineStr">
        <is>
          <t>What was Don Bradman's career Test batting average?</t>
        </is>
      </c>
      <c r="F1133" s="42" t="n">
        <v>99.94</v>
      </c>
      <c r="G1133" s="33" t="inlineStr">
        <is>
          <t>runs</t>
        </is>
      </c>
      <c r="H1133" s="35" t="inlineStr">
        <is>
          <t>Medium</t>
        </is>
      </c>
      <c r="I1133" s="33" t="inlineStr">
        <is>
          <t>ICC / Cricinfo</t>
        </is>
      </c>
      <c r="J1133" s="35" t="n"/>
      <c r="K1133" s="33" t="inlineStr">
        <is>
          <t>Added Oct 2026. Spot check before this day goes live.</t>
        </is>
      </c>
      <c r="L1133" s="35">
        <f>COUNTIFS($A$2:$A$1501,A1133,$D$2:$D$1501,D1133)</f>
        <v/>
      </c>
    </row>
    <row r="1134">
      <c r="A1134" s="35" t="n">
        <v>227</v>
      </c>
      <c r="B1134" s="41" t="n">
        <v>46526</v>
      </c>
      <c r="C1134" s="35" t="n">
        <v>3</v>
      </c>
      <c r="D1134" s="33" t="inlineStr">
        <is>
          <t>History</t>
        </is>
      </c>
      <c r="E1134" s="36" t="inlineStr">
        <is>
          <t>How many hours did Charles Lindbergh's solo flight across the Atlantic take?</t>
        </is>
      </c>
      <c r="F1134" s="42" t="n">
        <v>33.5</v>
      </c>
      <c r="G1134" s="33" t="inlineStr">
        <is>
          <t>hours</t>
        </is>
      </c>
      <c r="H1134" s="35" t="inlineStr">
        <is>
          <t>Medium</t>
        </is>
      </c>
      <c r="I1134" s="33" t="inlineStr">
        <is>
          <t>Smithsonian</t>
        </is>
      </c>
      <c r="J1134" s="35" t="n"/>
      <c r="K1134" s="33" t="inlineStr">
        <is>
          <t>Added Oct 2026. Spot check before this day goes live.</t>
        </is>
      </c>
      <c r="L1134" s="35">
        <f>COUNTIFS($A$2:$A$1501,A1134,$D$2:$D$1501,D1134)</f>
        <v/>
      </c>
    </row>
    <row r="1135">
      <c r="A1135" s="35" t="n">
        <v>227</v>
      </c>
      <c r="B1135" s="41" t="n">
        <v>46526</v>
      </c>
      <c r="C1135" s="35" t="n">
        <v>4</v>
      </c>
      <c r="D1135" s="33" t="inlineStr">
        <is>
          <t>Space and Science</t>
        </is>
      </c>
      <c r="E1135" s="36" t="inlineStr">
        <is>
          <t>How fast does the Moon travel around Earth?</t>
        </is>
      </c>
      <c r="F1135" s="42" t="n">
        <v>3680</v>
      </c>
      <c r="G1135" s="33" t="inlineStr">
        <is>
          <t>km/h</t>
        </is>
      </c>
      <c r="H1135" s="35" t="inlineStr">
        <is>
          <t>Hard</t>
        </is>
      </c>
      <c r="I1135" s="33" t="inlineStr">
        <is>
          <t>NASA</t>
        </is>
      </c>
      <c r="J1135" s="35" t="n"/>
      <c r="K1135" s="33" t="inlineStr">
        <is>
          <t>Added Oct 2026. Spot check before this day goes live.</t>
        </is>
      </c>
      <c r="L1135" s="35">
        <f>COUNTIFS($A$2:$A$1501,A1135,$D$2:$D$1501,D1135)</f>
        <v/>
      </c>
    </row>
    <row r="1136">
      <c r="A1136" s="35" t="n">
        <v>227</v>
      </c>
      <c r="B1136" s="41" t="n">
        <v>46526</v>
      </c>
      <c r="C1136" s="35" t="n">
        <v>5</v>
      </c>
      <c r="D1136" s="33" t="inlineStr">
        <is>
          <t>Distance of the Day</t>
        </is>
      </c>
      <c r="E1136" s="36" t="inlineStr">
        <is>
          <t>How far is it in a straight line from Houston to Orlando?</t>
        </is>
      </c>
      <c r="F1136" s="42" t="n">
        <v>1360</v>
      </c>
      <c r="G1136" s="33" t="inlineStr">
        <is>
          <t>km</t>
        </is>
      </c>
      <c r="H1136" s="35" t="inlineStr">
        <is>
          <t>Easy</t>
        </is>
      </c>
      <c r="I1136" s="33" t="inlineStr">
        <is>
          <t>Computed great-circle distance (city centre to city centre)</t>
        </is>
      </c>
      <c r="J1136" s="35" t="n"/>
      <c r="K1136" s="33" t="n"/>
      <c r="L1136" s="35">
        <f>COUNTIFS($A$2:$A$1501,A1136,$D$2:$D$1501,D1136)</f>
        <v/>
      </c>
    </row>
    <row r="1137">
      <c r="A1137" s="35" t="n">
        <v>228</v>
      </c>
      <c r="B1137" s="41" t="n">
        <v>46527</v>
      </c>
      <c r="C1137" s="35" t="n">
        <v>1</v>
      </c>
      <c r="D1137" s="33" t="inlineStr">
        <is>
          <t>Movies, Music and Games</t>
        </is>
      </c>
      <c r="E1137" s="36" t="inlineStr">
        <is>
          <t>How many squares are on a Snakes and Ladders board?</t>
        </is>
      </c>
      <c r="F1137" s="42" t="n">
        <v>100</v>
      </c>
      <c r="G1137" s="33" t="inlineStr">
        <is>
          <t>squares</t>
        </is>
      </c>
      <c r="H1137" s="35" t="inlineStr">
        <is>
          <t>Easy</t>
        </is>
      </c>
      <c r="I1137" s="33" t="inlineStr">
        <is>
          <t>Hasbro</t>
        </is>
      </c>
      <c r="J1137" s="35" t="n"/>
      <c r="K1137" s="33" t="inlineStr">
        <is>
          <t>Added Oct 2026. Spot check before this day goes live.</t>
        </is>
      </c>
      <c r="L1137" s="35">
        <f>COUNTIFS($A$2:$A$1501,A1137,$D$2:$D$1501,D1137)</f>
        <v/>
      </c>
    </row>
    <row r="1138">
      <c r="A1138" s="35" t="n">
        <v>228</v>
      </c>
      <c r="B1138" s="41" t="n">
        <v>46527</v>
      </c>
      <c r="C1138" s="35" t="n">
        <v>2</v>
      </c>
      <c r="D1138" s="33" t="inlineStr">
        <is>
          <t>Human Body</t>
        </is>
      </c>
      <c r="E1138" s="36" t="inlineStr">
        <is>
          <t>What is the highest pitch a young person can usually hear?</t>
        </is>
      </c>
      <c r="F1138" s="42" t="n">
        <v>20000</v>
      </c>
      <c r="G1138" s="33" t="inlineStr">
        <is>
          <t>Hz</t>
        </is>
      </c>
      <c r="H1138" s="35" t="inlineStr">
        <is>
          <t>Medium</t>
        </is>
      </c>
      <c r="I1138" s="33" t="inlineStr">
        <is>
          <t>Britannica</t>
        </is>
      </c>
      <c r="J1138" s="35" t="n"/>
      <c r="K1138" s="33" t="inlineStr">
        <is>
          <t>Added Oct 2026. Spot check before this day goes live.</t>
        </is>
      </c>
      <c r="L1138" s="35">
        <f>COUNTIFS($A$2:$A$1501,A1138,$D$2:$D$1501,D1138)</f>
        <v/>
      </c>
    </row>
    <row r="1139">
      <c r="A1139" s="35" t="n">
        <v>228</v>
      </c>
      <c r="B1139" s="41" t="n">
        <v>46527</v>
      </c>
      <c r="C1139" s="35" t="n">
        <v>3</v>
      </c>
      <c r="D1139" s="33" t="inlineStr">
        <is>
          <t>Buildings and Engineering</t>
        </is>
      </c>
      <c r="E1139" s="36" t="inlineStr">
        <is>
          <t>How tall is the dome of St. Peter's Basilica, to the top of its cross?</t>
        </is>
      </c>
      <c r="F1139" s="42" t="n">
        <v>136.6</v>
      </c>
      <c r="G1139" s="33" t="inlineStr">
        <is>
          <t>metres</t>
        </is>
      </c>
      <c r="H1139" s="35" t="inlineStr">
        <is>
          <t>Hard</t>
        </is>
      </c>
      <c r="I1139" s="33" t="inlineStr">
        <is>
          <t>Vatican</t>
        </is>
      </c>
      <c r="J1139" s="35" t="n"/>
      <c r="K1139" s="33" t="inlineStr">
        <is>
          <t>Added Oct 2026. Spot check before this day goes live.</t>
        </is>
      </c>
      <c r="L1139" s="35">
        <f>COUNTIFS($A$2:$A$1501,A1139,$D$2:$D$1501,D1139)</f>
        <v/>
      </c>
    </row>
    <row r="1140">
      <c r="A1140" s="35" t="n">
        <v>228</v>
      </c>
      <c r="B1140" s="41" t="n">
        <v>46527</v>
      </c>
      <c r="C1140" s="35" t="n">
        <v>4</v>
      </c>
      <c r="D1140" s="33" t="inlineStr">
        <is>
          <t>Geography</t>
        </is>
      </c>
      <c r="E1140" s="36" t="inlineStr">
        <is>
          <t>How big is Madagascar?</t>
        </is>
      </c>
      <c r="F1140" s="42" t="n">
        <v>587041</v>
      </c>
      <c r="G1140" s="33" t="inlineStr">
        <is>
          <t>km²</t>
        </is>
      </c>
      <c r="H1140" s="35" t="inlineStr">
        <is>
          <t>Hard</t>
        </is>
      </c>
      <c r="I1140" s="33" t="inlineStr">
        <is>
          <t>CIA World Factbook</t>
        </is>
      </c>
      <c r="J1140" s="35" t="n"/>
      <c r="K1140" s="33" t="inlineStr">
        <is>
          <t>Added Oct 2026. Spot check before this day goes live.</t>
        </is>
      </c>
      <c r="L1140" s="35">
        <f>COUNTIFS($A$2:$A$1501,A1140,$D$2:$D$1501,D1140)</f>
        <v/>
      </c>
    </row>
    <row r="1141">
      <c r="A1141" s="35" t="n">
        <v>228</v>
      </c>
      <c r="B1141" s="41" t="n">
        <v>46527</v>
      </c>
      <c r="C1141" s="35" t="n">
        <v>5</v>
      </c>
      <c r="D1141" s="33" t="inlineStr">
        <is>
          <t>Distance of the Day</t>
        </is>
      </c>
      <c r="E1141" s="36" t="inlineStr">
        <is>
          <t>How far is it in a straight line from Quebec City to Seattle?</t>
        </is>
      </c>
      <c r="F1141" s="42" t="n">
        <v>3790</v>
      </c>
      <c r="G1141" s="33" t="inlineStr">
        <is>
          <t>km</t>
        </is>
      </c>
      <c r="H1141" s="35" t="inlineStr">
        <is>
          <t>Medium</t>
        </is>
      </c>
      <c r="I1141" s="33" t="inlineStr">
        <is>
          <t>Computed great-circle distance (city centre to city centre)</t>
        </is>
      </c>
      <c r="J1141" s="35" t="n"/>
      <c r="K1141" s="33" t="n"/>
      <c r="L1141" s="35">
        <f>COUNTIFS($A$2:$A$1501,A1141,$D$2:$D$1501,D1141)</f>
        <v/>
      </c>
    </row>
    <row r="1142">
      <c r="A1142" s="35" t="n">
        <v>229</v>
      </c>
      <c r="B1142" s="41" t="n">
        <v>46528</v>
      </c>
      <c r="C1142" s="35" t="n">
        <v>1</v>
      </c>
      <c r="D1142" s="33" t="inlineStr">
        <is>
          <t>Animals and Nature</t>
        </is>
      </c>
      <c r="E1142" s="36" t="inlineStr">
        <is>
          <t>How many bones are in a giraffe's neck?</t>
        </is>
      </c>
      <c r="F1142" s="42" t="n">
        <v>7</v>
      </c>
      <c r="G1142" s="33" t="inlineStr">
        <is>
          <t>bones</t>
        </is>
      </c>
      <c r="H1142" s="35" t="inlineStr">
        <is>
          <t>Easy</t>
        </is>
      </c>
      <c r="I1142" s="33" t="inlineStr">
        <is>
          <t>Smithsonian</t>
        </is>
      </c>
      <c r="J1142" s="35" t="n"/>
      <c r="K1142" s="33" t="inlineStr">
        <is>
          <t>Added Oct 2026. Spot check before this day goes live.</t>
        </is>
      </c>
      <c r="L1142" s="35">
        <f>COUNTIFS($A$2:$A$1501,A1142,$D$2:$D$1501,D1142)</f>
        <v/>
      </c>
    </row>
    <row r="1143">
      <c r="A1143" s="35" t="n">
        <v>229</v>
      </c>
      <c r="B1143" s="41" t="n">
        <v>46528</v>
      </c>
      <c r="C1143" s="35" t="n">
        <v>2</v>
      </c>
      <c r="D1143" s="33" t="inlineStr">
        <is>
          <t>Sports</t>
        </is>
      </c>
      <c r="E1143" s="36" t="inlineStr">
        <is>
          <t>How wide is a hockey puck?</t>
        </is>
      </c>
      <c r="F1143" s="42" t="n">
        <v>3</v>
      </c>
      <c r="G1143" s="33" t="inlineStr">
        <is>
          <t>inches</t>
        </is>
      </c>
      <c r="H1143" s="35" t="inlineStr">
        <is>
          <t>Medium</t>
        </is>
      </c>
      <c r="I1143" s="33" t="inlineStr">
        <is>
          <t>NHL rulebook</t>
        </is>
      </c>
      <c r="J1143" s="35" t="n"/>
      <c r="K1143" s="33" t="inlineStr">
        <is>
          <t>Added Oct 2026. Spot check before this day goes live.</t>
        </is>
      </c>
      <c r="L1143" s="35">
        <f>COUNTIFS($A$2:$A$1501,A1143,$D$2:$D$1501,D1143)</f>
        <v/>
      </c>
    </row>
    <row r="1144">
      <c r="A1144" s="35" t="n">
        <v>229</v>
      </c>
      <c r="B1144" s="41" t="n">
        <v>46528</v>
      </c>
      <c r="C1144" s="35" t="n">
        <v>3</v>
      </c>
      <c r="D1144" s="33" t="inlineStr">
        <is>
          <t>Canada</t>
        </is>
      </c>
      <c r="E1144" s="36" t="inlineStr">
        <is>
          <t>How tall is Mount Royal in Montreal?</t>
        </is>
      </c>
      <c r="F1144" s="42" t="n">
        <v>233</v>
      </c>
      <c r="G1144" s="33" t="inlineStr">
        <is>
          <t>metres</t>
        </is>
      </c>
      <c r="H1144" s="35" t="inlineStr">
        <is>
          <t>Medium</t>
        </is>
      </c>
      <c r="I1144" s="33" t="inlineStr">
        <is>
          <t>City of Montreal</t>
        </is>
      </c>
      <c r="J1144" s="35" t="n"/>
      <c r="K1144" s="33" t="inlineStr">
        <is>
          <t>Added Oct 2026. Spot check before this day goes live.</t>
        </is>
      </c>
      <c r="L1144" s="35">
        <f>COUNTIFS($A$2:$A$1501,A1144,$D$2:$D$1501,D1144)</f>
        <v/>
      </c>
    </row>
    <row r="1145">
      <c r="A1145" s="35" t="n">
        <v>229</v>
      </c>
      <c r="B1145" s="41" t="n">
        <v>46528</v>
      </c>
      <c r="C1145" s="35" t="n">
        <v>4</v>
      </c>
      <c r="D1145" s="33" t="inlineStr">
        <is>
          <t>History</t>
        </is>
      </c>
      <c r="E1145" s="36" t="inlineStr">
        <is>
          <t>How many years did the Ming dynasty rule China?</t>
        </is>
      </c>
      <c r="F1145" s="42" t="n">
        <v>276</v>
      </c>
      <c r="G1145" s="33" t="inlineStr">
        <is>
          <t>years</t>
        </is>
      </c>
      <c r="H1145" s="35" t="inlineStr">
        <is>
          <t>Hard</t>
        </is>
      </c>
      <c r="I1145" s="33" t="inlineStr">
        <is>
          <t>Britannica</t>
        </is>
      </c>
      <c r="J1145" s="35" t="n"/>
      <c r="K1145" s="33" t="inlineStr">
        <is>
          <t>Added Oct 2026. Spot check before this day goes live.</t>
        </is>
      </c>
      <c r="L1145" s="35">
        <f>COUNTIFS($A$2:$A$1501,A1145,$D$2:$D$1501,D1145)</f>
        <v/>
      </c>
    </row>
    <row r="1146">
      <c r="A1146" s="35" t="n">
        <v>229</v>
      </c>
      <c r="B1146" s="41" t="n">
        <v>46528</v>
      </c>
      <c r="C1146" s="35" t="n">
        <v>5</v>
      </c>
      <c r="D1146" s="33" t="inlineStr">
        <is>
          <t>Distance of the Day</t>
        </is>
      </c>
      <c r="E1146" s="36" t="inlineStr">
        <is>
          <t>How far is it in a straight line from Victoria to Barcelona?</t>
        </is>
      </c>
      <c r="F1146" s="42" t="n">
        <v>8690</v>
      </c>
      <c r="G1146" s="33" t="inlineStr">
        <is>
          <t>km</t>
        </is>
      </c>
      <c r="H1146" s="35" t="inlineStr">
        <is>
          <t>Hard</t>
        </is>
      </c>
      <c r="I1146" s="33" t="inlineStr">
        <is>
          <t>Computed great-circle distance (city centre to city centre)</t>
        </is>
      </c>
      <c r="J1146" s="35" t="n"/>
      <c r="K1146" s="33" t="n"/>
      <c r="L1146" s="35">
        <f>COUNTIFS($A$2:$A$1501,A1146,$D$2:$D$1501,D1146)</f>
        <v/>
      </c>
    </row>
    <row r="1147">
      <c r="A1147" s="35" t="n">
        <v>230</v>
      </c>
      <c r="B1147" s="41" t="n">
        <v>46529</v>
      </c>
      <c r="C1147" s="35" t="n">
        <v>1</v>
      </c>
      <c r="D1147" s="33" t="inlineStr">
        <is>
          <t>Movies, Music and Games</t>
        </is>
      </c>
      <c r="E1147" s="36" t="inlineStr">
        <is>
          <t>How long is Pulp Fiction?</t>
        </is>
      </c>
      <c r="F1147" s="42" t="n">
        <v>154</v>
      </c>
      <c r="G1147" s="33" t="inlineStr">
        <is>
          <t>minutes</t>
        </is>
      </c>
      <c r="H1147" s="35" t="inlineStr">
        <is>
          <t>Medium</t>
        </is>
      </c>
      <c r="I1147" s="33" t="inlineStr">
        <is>
          <t>IMDb</t>
        </is>
      </c>
      <c r="J1147" s="35" t="n"/>
      <c r="K1147" s="33" t="inlineStr">
        <is>
          <t>Added Oct 2026. Spot check before this day goes live.</t>
        </is>
      </c>
      <c r="L1147" s="35">
        <f>COUNTIFS($A$2:$A$1501,A1147,$D$2:$D$1501,D1147)</f>
        <v/>
      </c>
    </row>
    <row r="1148">
      <c r="A1148" s="35" t="n">
        <v>230</v>
      </c>
      <c r="B1148" s="41" t="n">
        <v>46529</v>
      </c>
      <c r="C1148" s="35" t="n">
        <v>2</v>
      </c>
      <c r="D1148" s="33" t="inlineStr">
        <is>
          <t>Food and Everyday Life</t>
        </is>
      </c>
      <c r="E1148" s="36" t="inlineStr">
        <is>
          <t>How many calories are in a medium banana?</t>
        </is>
      </c>
      <c r="F1148" s="42" t="n">
        <v>105</v>
      </c>
      <c r="G1148" s="33" t="inlineStr">
        <is>
          <t>calories</t>
        </is>
      </c>
      <c r="H1148" s="35" t="inlineStr">
        <is>
          <t>Medium</t>
        </is>
      </c>
      <c r="I1148" s="33" t="inlineStr">
        <is>
          <t>USDA FoodData Central</t>
        </is>
      </c>
      <c r="J1148" s="35" t="n"/>
      <c r="K1148" s="33" t="inlineStr">
        <is>
          <t>Added Oct 2026. Spot check before this day goes live.</t>
        </is>
      </c>
      <c r="L1148" s="35">
        <f>COUNTIFS($A$2:$A$1501,A1148,$D$2:$D$1501,D1148)</f>
        <v/>
      </c>
    </row>
    <row r="1149">
      <c r="A1149" s="35" t="n">
        <v>230</v>
      </c>
      <c r="B1149" s="41" t="n">
        <v>46529</v>
      </c>
      <c r="C1149" s="35" t="n">
        <v>3</v>
      </c>
      <c r="D1149" s="33" t="inlineStr">
        <is>
          <t>Buildings and Engineering</t>
        </is>
      </c>
      <c r="E1149" s="36" t="inlineStr">
        <is>
          <t>How much concrete went into the Hoover Dam?</t>
        </is>
      </c>
      <c r="F1149" s="42" t="n">
        <v>2.5</v>
      </c>
      <c r="G1149" s="33" t="inlineStr">
        <is>
          <t>million m³</t>
        </is>
      </c>
      <c r="H1149" s="35" t="inlineStr">
        <is>
          <t>Hard</t>
        </is>
      </c>
      <c r="I1149" s="33" t="inlineStr">
        <is>
          <t>US Bureau of Reclamation</t>
        </is>
      </c>
      <c r="J1149" s="35" t="n"/>
      <c r="K1149" s="33" t="inlineStr">
        <is>
          <t>Added Oct 2026. Spot check before this day goes live.</t>
        </is>
      </c>
      <c r="L1149" s="35">
        <f>COUNTIFS($A$2:$A$1501,A1149,$D$2:$D$1501,D1149)</f>
        <v/>
      </c>
    </row>
    <row r="1150">
      <c r="A1150" s="35" t="n">
        <v>230</v>
      </c>
      <c r="B1150" s="41" t="n">
        <v>46529</v>
      </c>
      <c r="C1150" s="35" t="n">
        <v>4</v>
      </c>
      <c r="D1150" s="33" t="inlineStr">
        <is>
          <t>Geography</t>
        </is>
      </c>
      <c r="E1150" s="36" t="inlineStr">
        <is>
          <t>How long is the Rocky Mountains range?</t>
        </is>
      </c>
      <c r="F1150" s="42" t="n">
        <v>4800</v>
      </c>
      <c r="G1150" s="33" t="inlineStr">
        <is>
          <t>km</t>
        </is>
      </c>
      <c r="H1150" s="35" t="inlineStr">
        <is>
          <t>Hard</t>
        </is>
      </c>
      <c r="I1150" s="33" t="inlineStr">
        <is>
          <t>Britannica</t>
        </is>
      </c>
      <c r="J1150" s="35" t="n"/>
      <c r="K1150" s="33" t="inlineStr">
        <is>
          <t>Added Oct 2026. Spot check before this day goes live.</t>
        </is>
      </c>
      <c r="L1150" s="35">
        <f>COUNTIFS($A$2:$A$1501,A1150,$D$2:$D$1501,D1150)</f>
        <v/>
      </c>
    </row>
    <row r="1151">
      <c r="A1151" s="35" t="n">
        <v>230</v>
      </c>
      <c r="B1151" s="41" t="n">
        <v>46529</v>
      </c>
      <c r="C1151" s="35" t="n">
        <v>5</v>
      </c>
      <c r="D1151" s="33" t="inlineStr">
        <is>
          <t>Distance of the Day</t>
        </is>
      </c>
      <c r="E1151" s="36" t="inlineStr">
        <is>
          <t>How far is it in a straight line from New Orleans to Orlando?</t>
        </is>
      </c>
      <c r="F1151" s="42" t="n">
        <v>860</v>
      </c>
      <c r="G1151" s="33" t="inlineStr">
        <is>
          <t>km</t>
        </is>
      </c>
      <c r="H1151" s="35" t="inlineStr">
        <is>
          <t>Easy</t>
        </is>
      </c>
      <c r="I1151" s="33" t="inlineStr">
        <is>
          <t>Computed great-circle distance (city centre to city centre)</t>
        </is>
      </c>
      <c r="J1151" s="35" t="n"/>
      <c r="K1151" s="33" t="n"/>
      <c r="L1151" s="35">
        <f>COUNTIFS($A$2:$A$1501,A1151,$D$2:$D$1501,D1151)</f>
        <v/>
      </c>
    </row>
    <row r="1152">
      <c r="A1152" s="35" t="n">
        <v>231</v>
      </c>
      <c r="B1152" s="41" t="n">
        <v>46530</v>
      </c>
      <c r="C1152" s="35" t="n">
        <v>1</v>
      </c>
      <c r="D1152" s="33" t="inlineStr">
        <is>
          <t>Space and Science</t>
        </is>
      </c>
      <c r="E1152" s="36" t="inlineStr">
        <is>
          <t>How many litres are in one cubic metre?</t>
        </is>
      </c>
      <c r="F1152" s="42" t="n">
        <v>1000</v>
      </c>
      <c r="G1152" s="33" t="inlineStr">
        <is>
          <t>litres</t>
        </is>
      </c>
      <c r="H1152" s="35" t="inlineStr">
        <is>
          <t>Easy</t>
        </is>
      </c>
      <c r="I1152" s="33" t="inlineStr">
        <is>
          <t>NIST</t>
        </is>
      </c>
      <c r="J1152" s="35" t="n"/>
      <c r="K1152" s="33" t="inlineStr">
        <is>
          <t>Added Oct 2026. Spot check before this day goes live.</t>
        </is>
      </c>
      <c r="L1152" s="35">
        <f>COUNTIFS($A$2:$A$1501,A1152,$D$2:$D$1501,D1152)</f>
        <v/>
      </c>
    </row>
    <row r="1153">
      <c r="A1153" s="35" t="n">
        <v>231</v>
      </c>
      <c r="B1153" s="41" t="n">
        <v>46530</v>
      </c>
      <c r="C1153" s="35" t="n">
        <v>2</v>
      </c>
      <c r="D1153" s="33" t="inlineStr">
        <is>
          <t>Sports</t>
        </is>
      </c>
      <c r="E1153" s="36" t="inlineStr">
        <is>
          <t>How many Olympic gold medals did Michael Phelps win in his career?</t>
        </is>
      </c>
      <c r="F1153" s="42" t="n">
        <v>23</v>
      </c>
      <c r="G1153" s="33" t="inlineStr">
        <is>
          <t>gold medals</t>
        </is>
      </c>
      <c r="H1153" s="35" t="inlineStr">
        <is>
          <t>Medium</t>
        </is>
      </c>
      <c r="I1153" s="33" t="inlineStr">
        <is>
          <t>International Olympic Committee</t>
        </is>
      </c>
      <c r="J1153" s="35" t="n"/>
      <c r="K1153" s="33" t="inlineStr">
        <is>
          <t>Added Oct 2026. Spot check before this day goes live.</t>
        </is>
      </c>
      <c r="L1153" s="35">
        <f>COUNTIFS($A$2:$A$1501,A1153,$D$2:$D$1501,D1153)</f>
        <v/>
      </c>
    </row>
    <row r="1154">
      <c r="A1154" s="35" t="n">
        <v>231</v>
      </c>
      <c r="B1154" s="41" t="n">
        <v>46530</v>
      </c>
      <c r="C1154" s="35" t="n">
        <v>3</v>
      </c>
      <c r="D1154" s="33" t="inlineStr">
        <is>
          <t>Animals and Nature</t>
        </is>
      </c>
      <c r="E1154" s="36" t="inlineStr">
        <is>
          <t>What percentage of Earth's oxygen comes from the ocean?</t>
        </is>
      </c>
      <c r="F1154" s="42" t="n">
        <v>50</v>
      </c>
      <c r="G1154" s="33" t="inlineStr">
        <is>
          <t>%</t>
        </is>
      </c>
      <c r="H1154" s="35" t="inlineStr">
        <is>
          <t>Medium</t>
        </is>
      </c>
      <c r="I1154" s="33" t="inlineStr">
        <is>
          <t>NOAA</t>
        </is>
      </c>
      <c r="J1154" s="35" t="n"/>
      <c r="K1154" s="33" t="inlineStr">
        <is>
          <t>Added Oct 2026. Spot check before this day goes live.</t>
        </is>
      </c>
      <c r="L1154" s="35">
        <f>COUNTIFS($A$2:$A$1501,A1154,$D$2:$D$1501,D1154)</f>
        <v/>
      </c>
    </row>
    <row r="1155">
      <c r="A1155" s="35" t="n">
        <v>231</v>
      </c>
      <c r="B1155" s="41" t="n">
        <v>46530</v>
      </c>
      <c r="C1155" s="35" t="n">
        <v>4</v>
      </c>
      <c r="D1155" s="33" t="inlineStr">
        <is>
          <t>Canada</t>
        </is>
      </c>
      <c r="E1155" s="36" t="inlineStr">
        <is>
          <t>How many Canadians died in World War I?</t>
        </is>
      </c>
      <c r="F1155" s="42" t="n">
        <v>61000</v>
      </c>
      <c r="G1155" s="33" t="inlineStr">
        <is>
          <t>people</t>
        </is>
      </c>
      <c r="H1155" s="35" t="inlineStr">
        <is>
          <t>Hard</t>
        </is>
      </c>
      <c r="I1155" s="33" t="inlineStr">
        <is>
          <t>Veterans Affairs Canada</t>
        </is>
      </c>
      <c r="J1155" s="35" t="n"/>
      <c r="K1155" s="33" t="inlineStr">
        <is>
          <t>Added Oct 2026. Spot check before this day goes live.</t>
        </is>
      </c>
      <c r="L1155" s="35">
        <f>COUNTIFS($A$2:$A$1501,A1155,$D$2:$D$1501,D1155)</f>
        <v/>
      </c>
    </row>
    <row r="1156">
      <c r="A1156" s="35" t="n">
        <v>231</v>
      </c>
      <c r="B1156" s="41" t="n">
        <v>46530</v>
      </c>
      <c r="C1156" s="35" t="n">
        <v>5</v>
      </c>
      <c r="D1156" s="33" t="inlineStr">
        <is>
          <t>Distance of the Day</t>
        </is>
      </c>
      <c r="E1156" s="36" t="inlineStr">
        <is>
          <t>How far is it in a straight line from Charlottetown to Rome?</t>
        </is>
      </c>
      <c r="F1156" s="42" t="n">
        <v>5830</v>
      </c>
      <c r="G1156" s="33" t="inlineStr">
        <is>
          <t>km</t>
        </is>
      </c>
      <c r="H1156" s="35" t="inlineStr">
        <is>
          <t>Medium</t>
        </is>
      </c>
      <c r="I1156" s="33" t="inlineStr">
        <is>
          <t>Computed great-circle distance (city centre to city centre)</t>
        </is>
      </c>
      <c r="J1156" s="35" t="n"/>
      <c r="K1156" s="33" t="n"/>
      <c r="L1156" s="35">
        <f>COUNTIFS($A$2:$A$1501,A1156,$D$2:$D$1501,D1156)</f>
        <v/>
      </c>
    </row>
    <row r="1157">
      <c r="A1157" s="35" t="n">
        <v>232</v>
      </c>
      <c r="B1157" s="41" t="n">
        <v>46531</v>
      </c>
      <c r="C1157" s="35" t="n">
        <v>1</v>
      </c>
      <c r="D1157" s="33" t="inlineStr">
        <is>
          <t>Human Body</t>
        </is>
      </c>
      <c r="E1157" s="36" t="inlineStr">
        <is>
          <t>How many minutes should you brush your teeth for?</t>
        </is>
      </c>
      <c r="F1157" s="42" t="n">
        <v>2</v>
      </c>
      <c r="G1157" s="33" t="inlineStr">
        <is>
          <t>minutes</t>
        </is>
      </c>
      <c r="H1157" s="35" t="inlineStr">
        <is>
          <t>Easy</t>
        </is>
      </c>
      <c r="I1157" s="33" t="inlineStr">
        <is>
          <t>Canadian Dental Association</t>
        </is>
      </c>
      <c r="J1157" s="35" t="n"/>
      <c r="K1157" s="33" t="inlineStr">
        <is>
          <t>Added Oct 2026. Spot check before this day goes live.</t>
        </is>
      </c>
      <c r="L1157" s="35">
        <f>COUNTIFS($A$2:$A$1501,A1157,$D$2:$D$1501,D1157)</f>
        <v/>
      </c>
    </row>
    <row r="1158">
      <c r="A1158" s="35" t="n">
        <v>232</v>
      </c>
      <c r="B1158" s="41" t="n">
        <v>46531</v>
      </c>
      <c r="C1158" s="35" t="n">
        <v>2</v>
      </c>
      <c r="D1158" s="33" t="inlineStr">
        <is>
          <t>Food and Everyday Life</t>
        </is>
      </c>
      <c r="E1158" s="36" t="inlineStr">
        <is>
          <t>How many years does a Canadian passport last for adults, at most?</t>
        </is>
      </c>
      <c r="F1158" s="42" t="n">
        <v>10</v>
      </c>
      <c r="G1158" s="33" t="inlineStr">
        <is>
          <t>years</t>
        </is>
      </c>
      <c r="H1158" s="35" t="inlineStr">
        <is>
          <t>Medium</t>
        </is>
      </c>
      <c r="I1158" s="33" t="inlineStr">
        <is>
          <t>Government of Canada</t>
        </is>
      </c>
      <c r="J1158" s="35" t="n"/>
      <c r="K1158" s="33" t="inlineStr">
        <is>
          <t>Added Oct 2026. Spot check before this day goes live.</t>
        </is>
      </c>
      <c r="L1158" s="35">
        <f>COUNTIFS($A$2:$A$1501,A1158,$D$2:$D$1501,D1158)</f>
        <v/>
      </c>
    </row>
    <row r="1159">
      <c r="A1159" s="35" t="n">
        <v>232</v>
      </c>
      <c r="B1159" s="41" t="n">
        <v>46531</v>
      </c>
      <c r="C1159" s="35" t="n">
        <v>3</v>
      </c>
      <c r="D1159" s="33" t="inlineStr">
        <is>
          <t>Movies, Music and Games</t>
        </is>
      </c>
      <c r="E1159" s="36" t="inlineStr">
        <is>
          <t>How many million Americans watched the final episode of M*A*S*H?</t>
        </is>
      </c>
      <c r="F1159" s="42" t="n">
        <v>106</v>
      </c>
      <c r="G1159" s="33" t="inlineStr">
        <is>
          <t>million viewers</t>
        </is>
      </c>
      <c r="H1159" s="35" t="inlineStr">
        <is>
          <t>Hard</t>
        </is>
      </c>
      <c r="I1159" s="33" t="inlineStr">
        <is>
          <t>Nielsen</t>
        </is>
      </c>
      <c r="J1159" s="35" t="n"/>
      <c r="K1159" s="33" t="inlineStr">
        <is>
          <t>Added Oct 2026. Spot check before this day goes live.</t>
        </is>
      </c>
      <c r="L1159" s="35">
        <f>COUNTIFS($A$2:$A$1501,A1159,$D$2:$D$1501,D1159)</f>
        <v/>
      </c>
    </row>
    <row r="1160">
      <c r="A1160" s="35" t="n">
        <v>232</v>
      </c>
      <c r="B1160" s="41" t="n">
        <v>46531</v>
      </c>
      <c r="C1160" s="35" t="n">
        <v>4</v>
      </c>
      <c r="D1160" s="33" t="inlineStr">
        <is>
          <t>History</t>
        </is>
      </c>
      <c r="E1160" s="36" t="inlineStr">
        <is>
          <t>How far did Gandhi and his followers walk on the Salt March?</t>
        </is>
      </c>
      <c r="F1160" s="42" t="n">
        <v>385</v>
      </c>
      <c r="G1160" s="33" t="inlineStr">
        <is>
          <t>km</t>
        </is>
      </c>
      <c r="H1160" s="35" t="inlineStr">
        <is>
          <t>Hard</t>
        </is>
      </c>
      <c r="I1160" s="33" t="inlineStr">
        <is>
          <t>Britannica</t>
        </is>
      </c>
      <c r="J1160" s="35" t="n"/>
      <c r="K1160" s="33" t="inlineStr">
        <is>
          <t>Added Oct 2026. Spot check before this day goes live.</t>
        </is>
      </c>
      <c r="L1160" s="35">
        <f>COUNTIFS($A$2:$A$1501,A1160,$D$2:$D$1501,D1160)</f>
        <v/>
      </c>
    </row>
    <row r="1161">
      <c r="A1161" s="35" t="n">
        <v>232</v>
      </c>
      <c r="B1161" s="41" t="n">
        <v>46531</v>
      </c>
      <c r="C1161" s="35" t="n">
        <v>5</v>
      </c>
      <c r="D1161" s="33" t="inlineStr">
        <is>
          <t>Distance of the Day</t>
        </is>
      </c>
      <c r="E1161" s="36" t="inlineStr">
        <is>
          <t>How far is it in a straight line from Kelowna to Cairo?</t>
        </is>
      </c>
      <c r="F1161" s="42" t="n">
        <v>10670</v>
      </c>
      <c r="G1161" s="33" t="inlineStr">
        <is>
          <t>km</t>
        </is>
      </c>
      <c r="H1161" s="35" t="inlineStr">
        <is>
          <t>Hard</t>
        </is>
      </c>
      <c r="I1161" s="33" t="inlineStr">
        <is>
          <t>Computed great-circle distance (city centre to city centre)</t>
        </is>
      </c>
      <c r="J1161" s="35" t="n"/>
      <c r="K1161" s="33" t="n"/>
      <c r="L1161" s="35">
        <f>COUNTIFS($A$2:$A$1501,A1161,$D$2:$D$1501,D1161)</f>
        <v/>
      </c>
    </row>
    <row r="1162">
      <c r="A1162" s="35" t="n">
        <v>233</v>
      </c>
      <c r="B1162" s="41" t="n">
        <v>46532</v>
      </c>
      <c r="C1162" s="35" t="n">
        <v>1</v>
      </c>
      <c r="D1162" s="33" t="inlineStr">
        <is>
          <t>Geography</t>
        </is>
      </c>
      <c r="E1162" s="36" t="inlineStr">
        <is>
          <t>How many mountains on Earth are taller than 8,000 metres?</t>
        </is>
      </c>
      <c r="F1162" s="42" t="n">
        <v>14</v>
      </c>
      <c r="G1162" s="33" t="inlineStr">
        <is>
          <t>mountains</t>
        </is>
      </c>
      <c r="H1162" s="35" t="inlineStr">
        <is>
          <t>Medium</t>
        </is>
      </c>
      <c r="I1162" s="33" t="inlineStr">
        <is>
          <t>Britannica</t>
        </is>
      </c>
      <c r="J1162" s="35" t="n"/>
      <c r="K1162" s="33" t="inlineStr">
        <is>
          <t>Added Oct 2026. Spot check before this day goes live.</t>
        </is>
      </c>
      <c r="L1162" s="35">
        <f>COUNTIFS($A$2:$A$1501,A1162,$D$2:$D$1501,D1162)</f>
        <v/>
      </c>
    </row>
    <row r="1163">
      <c r="A1163" s="35" t="n">
        <v>233</v>
      </c>
      <c r="B1163" s="41" t="n">
        <v>46532</v>
      </c>
      <c r="C1163" s="35" t="n">
        <v>2</v>
      </c>
      <c r="D1163" s="33" t="inlineStr">
        <is>
          <t>Animals and Nature</t>
        </is>
      </c>
      <c r="E1163" s="36" t="inlineStr">
        <is>
          <t>How many years does a typical house cat live?</t>
        </is>
      </c>
      <c r="F1163" s="42" t="n">
        <v>15</v>
      </c>
      <c r="G1163" s="33" t="inlineStr">
        <is>
          <t>years</t>
        </is>
      </c>
      <c r="H1163" s="35" t="inlineStr">
        <is>
          <t>Medium</t>
        </is>
      </c>
      <c r="I1163" s="33" t="inlineStr">
        <is>
          <t>Cornell Feline Health Center</t>
        </is>
      </c>
      <c r="J1163" s="35" t="n"/>
      <c r="K1163" s="33" t="inlineStr">
        <is>
          <t>Added Oct 2026. Spot check before this day goes live.</t>
        </is>
      </c>
      <c r="L1163" s="35">
        <f>COUNTIFS($A$2:$A$1501,A1163,$D$2:$D$1501,D1163)</f>
        <v/>
      </c>
    </row>
    <row r="1164">
      <c r="A1164" s="35" t="n">
        <v>233</v>
      </c>
      <c r="B1164" s="41" t="n">
        <v>46532</v>
      </c>
      <c r="C1164" s="35" t="n">
        <v>3</v>
      </c>
      <c r="D1164" s="33" t="inlineStr">
        <is>
          <t>Space and Science</t>
        </is>
      </c>
      <c r="E1164" s="36" t="inlineStr">
        <is>
          <t>How wide is the main mirror of the Hubble Space Telescope?</t>
        </is>
      </c>
      <c r="F1164" s="42" t="n">
        <v>2.4</v>
      </c>
      <c r="G1164" s="33" t="inlineStr">
        <is>
          <t>metres</t>
        </is>
      </c>
      <c r="H1164" s="35" t="inlineStr">
        <is>
          <t>Hard</t>
        </is>
      </c>
      <c r="I1164" s="33" t="inlineStr">
        <is>
          <t>NASA</t>
        </is>
      </c>
      <c r="J1164" s="35" t="n"/>
      <c r="K1164" s="33" t="inlineStr">
        <is>
          <t>Added Oct 2026. Spot check before this day goes live.</t>
        </is>
      </c>
      <c r="L1164" s="35">
        <f>COUNTIFS($A$2:$A$1501,A1164,$D$2:$D$1501,D1164)</f>
        <v/>
      </c>
    </row>
    <row r="1165">
      <c r="A1165" s="35" t="n">
        <v>233</v>
      </c>
      <c r="B1165" s="41" t="n">
        <v>46532</v>
      </c>
      <c r="C1165" s="35" t="n">
        <v>4</v>
      </c>
      <c r="D1165" s="33" t="inlineStr">
        <is>
          <t>Canada</t>
        </is>
      </c>
      <c r="E1165" s="36" t="inlineStr">
        <is>
          <t>How big is Nova Scotia?</t>
        </is>
      </c>
      <c r="F1165" s="42" t="n">
        <v>55284</v>
      </c>
      <c r="G1165" s="33" t="inlineStr">
        <is>
          <t>km²</t>
        </is>
      </c>
      <c r="H1165" s="35" t="inlineStr">
        <is>
          <t>Hard</t>
        </is>
      </c>
      <c r="I1165" s="33" t="inlineStr">
        <is>
          <t>Statistics Canada</t>
        </is>
      </c>
      <c r="J1165" s="35" t="n"/>
      <c r="K1165" s="33" t="inlineStr">
        <is>
          <t>Added Oct 2026. Spot check before this day goes live.</t>
        </is>
      </c>
      <c r="L1165" s="35">
        <f>COUNTIFS($A$2:$A$1501,A1165,$D$2:$D$1501,D1165)</f>
        <v/>
      </c>
    </row>
    <row r="1166">
      <c r="A1166" s="35" t="n">
        <v>233</v>
      </c>
      <c r="B1166" s="41" t="n">
        <v>46532</v>
      </c>
      <c r="C1166" s="35" t="n">
        <v>5</v>
      </c>
      <c r="D1166" s="33" t="inlineStr">
        <is>
          <t>Distance of the Day</t>
        </is>
      </c>
      <c r="E1166" s="36" t="inlineStr">
        <is>
          <t>How far is it in a straight line from Sudbury to Madrid?</t>
        </is>
      </c>
      <c r="F1166" s="42" t="n">
        <v>6020</v>
      </c>
      <c r="G1166" s="33" t="inlineStr">
        <is>
          <t>km</t>
        </is>
      </c>
      <c r="H1166" s="35" t="inlineStr">
        <is>
          <t>Medium</t>
        </is>
      </c>
      <c r="I1166" s="33" t="inlineStr">
        <is>
          <t>Computed great-circle distance (city centre to city centre)</t>
        </is>
      </c>
      <c r="J1166" s="35" t="n"/>
      <c r="K1166" s="33" t="n"/>
      <c r="L1166" s="35">
        <f>COUNTIFS($A$2:$A$1501,A1166,$D$2:$D$1501,D1166)</f>
        <v/>
      </c>
    </row>
    <row r="1167">
      <c r="A1167" s="35" t="n">
        <v>234</v>
      </c>
      <c r="B1167" s="41" t="n">
        <v>46533</v>
      </c>
      <c r="C1167" s="35" t="n">
        <v>1</v>
      </c>
      <c r="D1167" s="33" t="inlineStr">
        <is>
          <t>Human Body</t>
        </is>
      </c>
      <c r="E1167" s="36" t="inlineStr">
        <is>
          <t>How many bones are in the human arm, not counting the hand?</t>
        </is>
      </c>
      <c r="F1167" s="42" t="n">
        <v>3</v>
      </c>
      <c r="G1167" s="33" t="inlineStr">
        <is>
          <t>bones</t>
        </is>
      </c>
      <c r="H1167" s="35" t="inlineStr">
        <is>
          <t>Easy</t>
        </is>
      </c>
      <c r="I1167" s="33" t="inlineStr">
        <is>
          <t>Britannica</t>
        </is>
      </c>
      <c r="J1167" s="35" t="n"/>
      <c r="K1167" s="33" t="inlineStr">
        <is>
          <t>Added Oct 2026. Spot check before this day goes live.</t>
        </is>
      </c>
      <c r="L1167" s="35">
        <f>COUNTIFS($A$2:$A$1501,A1167,$D$2:$D$1501,D1167)</f>
        <v/>
      </c>
    </row>
    <row r="1168">
      <c r="A1168" s="35" t="n">
        <v>234</v>
      </c>
      <c r="B1168" s="41" t="n">
        <v>46533</v>
      </c>
      <c r="C1168" s="35" t="n">
        <v>2</v>
      </c>
      <c r="D1168" s="33" t="inlineStr">
        <is>
          <t>Sports</t>
        </is>
      </c>
      <c r="E1168" s="36" t="inlineStr">
        <is>
          <t>How many points did Wayne Gretzky score in the 1985-86 NHL season, the most ever?</t>
        </is>
      </c>
      <c r="F1168" s="42" t="n">
        <v>215</v>
      </c>
      <c r="G1168" s="33" t="inlineStr">
        <is>
          <t>points</t>
        </is>
      </c>
      <c r="H1168" s="35" t="inlineStr">
        <is>
          <t>Medium</t>
        </is>
      </c>
      <c r="I1168" s="33" t="inlineStr">
        <is>
          <t>NHL.com</t>
        </is>
      </c>
      <c r="J1168" s="35" t="n"/>
      <c r="K1168" s="33" t="inlineStr">
        <is>
          <t>Added Oct 2026. Spot check before this day goes live.</t>
        </is>
      </c>
      <c r="L1168" s="35">
        <f>COUNTIFS($A$2:$A$1501,A1168,$D$2:$D$1501,D1168)</f>
        <v/>
      </c>
    </row>
    <row r="1169">
      <c r="A1169" s="35" t="n">
        <v>234</v>
      </c>
      <c r="B1169" s="41" t="n">
        <v>46533</v>
      </c>
      <c r="C1169" s="35" t="n">
        <v>3</v>
      </c>
      <c r="D1169" s="33" t="inlineStr">
        <is>
          <t>History</t>
        </is>
      </c>
      <c r="E1169" s="36" t="inlineStr">
        <is>
          <t>How many points were in Woodrow Wilson's plan for peace after World War I?</t>
        </is>
      </c>
      <c r="F1169" s="42" t="n">
        <v>14</v>
      </c>
      <c r="G1169" s="33" t="inlineStr">
        <is>
          <t>points</t>
        </is>
      </c>
      <c r="H1169" s="35" t="inlineStr">
        <is>
          <t>Medium</t>
        </is>
      </c>
      <c r="I1169" s="33" t="inlineStr">
        <is>
          <t>US National Archives</t>
        </is>
      </c>
      <c r="J1169" s="35" t="n"/>
      <c r="K1169" s="33" t="inlineStr">
        <is>
          <t>Added Oct 2026. Spot check before this day goes live.</t>
        </is>
      </c>
      <c r="L1169" s="35">
        <f>COUNTIFS($A$2:$A$1501,A1169,$D$2:$D$1501,D1169)</f>
        <v/>
      </c>
    </row>
    <row r="1170">
      <c r="A1170" s="35" t="n">
        <v>234</v>
      </c>
      <c r="B1170" s="41" t="n">
        <v>46533</v>
      </c>
      <c r="C1170" s="35" t="n">
        <v>4</v>
      </c>
      <c r="D1170" s="33" t="inlineStr">
        <is>
          <t>Buildings and Engineering</t>
        </is>
      </c>
      <c r="E1170" s="36" t="inlineStr">
        <is>
          <t>How tall is the Spring Temple Buddha in China?</t>
        </is>
      </c>
      <c r="F1170" s="42" t="n">
        <v>128</v>
      </c>
      <c r="G1170" s="33" t="inlineStr">
        <is>
          <t>metres</t>
        </is>
      </c>
      <c r="H1170" s="35" t="inlineStr">
        <is>
          <t>Hard</t>
        </is>
      </c>
      <c r="I1170" s="33" t="inlineStr">
        <is>
          <t>Guinness World Records</t>
        </is>
      </c>
      <c r="J1170" s="35" t="n"/>
      <c r="K1170" s="33" t="inlineStr">
        <is>
          <t>Added Oct 2026. Spot check before this day goes live.</t>
        </is>
      </c>
      <c r="L1170" s="35">
        <f>COUNTIFS($A$2:$A$1501,A1170,$D$2:$D$1501,D1170)</f>
        <v/>
      </c>
    </row>
    <row r="1171">
      <c r="A1171" s="35" t="n">
        <v>234</v>
      </c>
      <c r="B1171" s="41" t="n">
        <v>46533</v>
      </c>
      <c r="C1171" s="35" t="n">
        <v>5</v>
      </c>
      <c r="D1171" s="33" t="inlineStr">
        <is>
          <t>Distance of the Day</t>
        </is>
      </c>
      <c r="E1171" s="36" t="inlineStr">
        <is>
          <t>How far is it in a straight line from Stockholm to Prague?</t>
        </is>
      </c>
      <c r="F1171" s="42" t="n">
        <v>1050</v>
      </c>
      <c r="G1171" s="33" t="inlineStr">
        <is>
          <t>km</t>
        </is>
      </c>
      <c r="H1171" s="35" t="inlineStr">
        <is>
          <t>Easy</t>
        </is>
      </c>
      <c r="I1171" s="33" t="inlineStr">
        <is>
          <t>Computed great-circle distance (city centre to city centre)</t>
        </is>
      </c>
      <c r="J1171" s="35" t="n"/>
      <c r="K1171" s="33" t="n"/>
      <c r="L1171" s="35">
        <f>COUNTIFS($A$2:$A$1501,A1171,$D$2:$D$1501,D1171)</f>
        <v/>
      </c>
    </row>
    <row r="1172">
      <c r="A1172" s="35" t="n">
        <v>235</v>
      </c>
      <c r="B1172" s="41" t="n">
        <v>46534</v>
      </c>
      <c r="C1172" s="35" t="n">
        <v>1</v>
      </c>
      <c r="D1172" s="33" t="inlineStr">
        <is>
          <t>Food and Everyday Life</t>
        </is>
      </c>
      <c r="E1172" s="36" t="inlineStr">
        <is>
          <t>How heavy is one litre of water?</t>
        </is>
      </c>
      <c r="F1172" s="42" t="n">
        <v>1</v>
      </c>
      <c r="G1172" s="33" t="inlineStr">
        <is>
          <t>kg</t>
        </is>
      </c>
      <c r="H1172" s="35" t="inlineStr">
        <is>
          <t>Easy</t>
        </is>
      </c>
      <c r="I1172" s="33" t="inlineStr">
        <is>
          <t>NIST</t>
        </is>
      </c>
      <c r="J1172" s="35" t="n"/>
      <c r="K1172" s="33" t="inlineStr">
        <is>
          <t>Added Oct 2026. Spot check before this day goes live.</t>
        </is>
      </c>
      <c r="L1172" s="35">
        <f>COUNTIFS($A$2:$A$1501,A1172,$D$2:$D$1501,D1172)</f>
        <v/>
      </c>
    </row>
    <row r="1173">
      <c r="A1173" s="35" t="n">
        <v>235</v>
      </c>
      <c r="B1173" s="41" t="n">
        <v>46534</v>
      </c>
      <c r="C1173" s="35" t="n">
        <v>2</v>
      </c>
      <c r="D1173" s="33" t="inlineStr">
        <is>
          <t>Movies, Music and Games</t>
        </is>
      </c>
      <c r="E1173" s="36" t="inlineStr">
        <is>
          <t>How long is Finding Nemo?</t>
        </is>
      </c>
      <c r="F1173" s="42" t="n">
        <v>100</v>
      </c>
      <c r="G1173" s="33" t="inlineStr">
        <is>
          <t>minutes</t>
        </is>
      </c>
      <c r="H1173" s="35" t="inlineStr">
        <is>
          <t>Medium</t>
        </is>
      </c>
      <c r="I1173" s="33" t="inlineStr">
        <is>
          <t>IMDb</t>
        </is>
      </c>
      <c r="J1173" s="35" t="n"/>
      <c r="K1173" s="33" t="inlineStr">
        <is>
          <t>Added Oct 2026. Spot check before this day goes live.</t>
        </is>
      </c>
      <c r="L1173" s="35">
        <f>COUNTIFS($A$2:$A$1501,A1173,$D$2:$D$1501,D1173)</f>
        <v/>
      </c>
    </row>
    <row r="1174">
      <c r="A1174" s="35" t="n">
        <v>235</v>
      </c>
      <c r="B1174" s="41" t="n">
        <v>46534</v>
      </c>
      <c r="C1174" s="35" t="n">
        <v>3</v>
      </c>
      <c r="D1174" s="33" t="inlineStr">
        <is>
          <t>Canada</t>
        </is>
      </c>
      <c r="E1174" s="36" t="inlineStr">
        <is>
          <t>How many bells are in the Peace Tower carillon?</t>
        </is>
      </c>
      <c r="F1174" s="42" t="n">
        <v>53</v>
      </c>
      <c r="G1174" s="33" t="inlineStr">
        <is>
          <t>bells</t>
        </is>
      </c>
      <c r="H1174" s="35" t="inlineStr">
        <is>
          <t>Hard</t>
        </is>
      </c>
      <c r="I1174" s="33" t="inlineStr">
        <is>
          <t>Parliament of Canada</t>
        </is>
      </c>
      <c r="J1174" s="35" t="n"/>
      <c r="K1174" s="33" t="inlineStr">
        <is>
          <t>Added Oct 2026. Spot check before this day goes live.</t>
        </is>
      </c>
      <c r="L1174" s="35">
        <f>COUNTIFS($A$2:$A$1501,A1174,$D$2:$D$1501,D1174)</f>
        <v/>
      </c>
    </row>
    <row r="1175">
      <c r="A1175" s="35" t="n">
        <v>235</v>
      </c>
      <c r="B1175" s="41" t="n">
        <v>46534</v>
      </c>
      <c r="C1175" s="35" t="n">
        <v>4</v>
      </c>
      <c r="D1175" s="33" t="inlineStr">
        <is>
          <t>Animals and Nature</t>
        </is>
      </c>
      <c r="E1175" s="36" t="inlineStr">
        <is>
          <t>How many leaves does a mature oak tree have?</t>
        </is>
      </c>
      <c r="F1175" s="42" t="n">
        <v>200000</v>
      </c>
      <c r="G1175" s="33" t="inlineStr">
        <is>
          <t>leaves</t>
        </is>
      </c>
      <c r="H1175" s="35" t="inlineStr">
        <is>
          <t>Hard</t>
        </is>
      </c>
      <c r="I1175" s="33" t="inlineStr">
        <is>
          <t>Woodland Trust</t>
        </is>
      </c>
      <c r="J1175" s="35" t="n"/>
      <c r="K1175" s="33" t="inlineStr">
        <is>
          <t>Added Oct 2026. Spot check before this day goes live.</t>
        </is>
      </c>
      <c r="L1175" s="35">
        <f>COUNTIFS($A$2:$A$1501,A1175,$D$2:$D$1501,D1175)</f>
        <v/>
      </c>
    </row>
    <row r="1176">
      <c r="A1176" s="35" t="n">
        <v>235</v>
      </c>
      <c r="B1176" s="41" t="n">
        <v>46534</v>
      </c>
      <c r="C1176" s="35" t="n">
        <v>5</v>
      </c>
      <c r="D1176" s="33" t="inlineStr">
        <is>
          <t>Distance of the Day</t>
        </is>
      </c>
      <c r="E1176" s="36" t="inlineStr">
        <is>
          <t>How far is it in a straight line from Chicago to Edinburgh?</t>
        </is>
      </c>
      <c r="F1176" s="42" t="n">
        <v>5960</v>
      </c>
      <c r="G1176" s="33" t="inlineStr">
        <is>
          <t>km</t>
        </is>
      </c>
      <c r="H1176" s="35" t="inlineStr">
        <is>
          <t>Medium</t>
        </is>
      </c>
      <c r="I1176" s="33" t="inlineStr">
        <is>
          <t>Computed great-circle distance (city centre to city centre)</t>
        </is>
      </c>
      <c r="J1176" s="35" t="n"/>
      <c r="K1176" s="33" t="n"/>
      <c r="L1176" s="35">
        <f>COUNTIFS($A$2:$A$1501,A1176,$D$2:$D$1501,D1176)</f>
        <v/>
      </c>
    </row>
    <row r="1177">
      <c r="A1177" s="35" t="n">
        <v>236</v>
      </c>
      <c r="B1177" s="41" t="n">
        <v>46535</v>
      </c>
      <c r="C1177" s="35" t="n">
        <v>1</v>
      </c>
      <c r="D1177" s="33" t="inlineStr">
        <is>
          <t>Human Body</t>
        </is>
      </c>
      <c r="E1177" s="36" t="inlineStr">
        <is>
          <t>How much surface area does an adult's skin cover?</t>
        </is>
      </c>
      <c r="F1177" s="42" t="n">
        <v>2</v>
      </c>
      <c r="G1177" s="33" t="inlineStr">
        <is>
          <t>m²</t>
        </is>
      </c>
      <c r="H1177" s="35" t="inlineStr">
        <is>
          <t>Medium</t>
        </is>
      </c>
      <c r="I1177" s="33" t="inlineStr">
        <is>
          <t>Cleveland Clinic</t>
        </is>
      </c>
      <c r="J1177" s="35" t="n"/>
      <c r="K1177" s="33" t="inlineStr">
        <is>
          <t>Added Oct 2026. Spot check before this day goes live.</t>
        </is>
      </c>
      <c r="L1177" s="35">
        <f>COUNTIFS($A$2:$A$1501,A1177,$D$2:$D$1501,D1177)</f>
        <v/>
      </c>
    </row>
    <row r="1178">
      <c r="A1178" s="35" t="n">
        <v>236</v>
      </c>
      <c r="B1178" s="41" t="n">
        <v>46535</v>
      </c>
      <c r="C1178" s="35" t="n">
        <v>2</v>
      </c>
      <c r="D1178" s="33" t="inlineStr">
        <is>
          <t>Sports</t>
        </is>
      </c>
      <c r="E1178" s="36" t="inlineStr">
        <is>
          <t>What is the highest possible checkout in darts?</t>
        </is>
      </c>
      <c r="F1178" s="42" t="n">
        <v>170</v>
      </c>
      <c r="G1178" s="33" t="inlineStr">
        <is>
          <t>points</t>
        </is>
      </c>
      <c r="H1178" s="35" t="inlineStr">
        <is>
          <t>Medium</t>
        </is>
      </c>
      <c r="I1178" s="33" t="inlineStr">
        <is>
          <t>Professional Darts Corporation</t>
        </is>
      </c>
      <c r="J1178" s="35" t="n"/>
      <c r="K1178" s="33" t="inlineStr">
        <is>
          <t>Added Oct 2026. Spot check before this day goes live.</t>
        </is>
      </c>
      <c r="L1178" s="35">
        <f>COUNTIFS($A$2:$A$1501,A1178,$D$2:$D$1501,D1178)</f>
        <v/>
      </c>
    </row>
    <row r="1179">
      <c r="A1179" s="35" t="n">
        <v>236</v>
      </c>
      <c r="B1179" s="41" t="n">
        <v>46535</v>
      </c>
      <c r="C1179" s="35" t="n">
        <v>3</v>
      </c>
      <c r="D1179" s="33" t="inlineStr">
        <is>
          <t>Buildings and Engineering</t>
        </is>
      </c>
      <c r="E1179" s="36" t="inlineStr">
        <is>
          <t>How heavy is Big Ben, the bell itself?</t>
        </is>
      </c>
      <c r="F1179" s="42" t="n">
        <v>13.7</v>
      </c>
      <c r="G1179" s="33" t="inlineStr">
        <is>
          <t>tonnes</t>
        </is>
      </c>
      <c r="H1179" s="35" t="inlineStr">
        <is>
          <t>Hard</t>
        </is>
      </c>
      <c r="I1179" s="33" t="inlineStr">
        <is>
          <t>UK Parliament</t>
        </is>
      </c>
      <c r="J1179" s="35" t="n"/>
      <c r="K1179" s="33" t="inlineStr">
        <is>
          <t>Added Oct 2026. Spot check before this day goes live.</t>
        </is>
      </c>
      <c r="L1179" s="35">
        <f>COUNTIFS($A$2:$A$1501,A1179,$D$2:$D$1501,D1179)</f>
        <v/>
      </c>
    </row>
    <row r="1180">
      <c r="A1180" s="35" t="n">
        <v>236</v>
      </c>
      <c r="B1180" s="41" t="n">
        <v>46535</v>
      </c>
      <c r="C1180" s="35" t="n">
        <v>4</v>
      </c>
      <c r="D1180" s="33" t="inlineStr">
        <is>
          <t>Space and Science</t>
        </is>
      </c>
      <c r="E1180" s="36" t="inlineStr">
        <is>
          <t>How many grams does a litre of air weigh at sea level?</t>
        </is>
      </c>
      <c r="F1180" s="42" t="n">
        <v>1.2</v>
      </c>
      <c r="G1180" s="33" t="inlineStr">
        <is>
          <t>grams</t>
        </is>
      </c>
      <c r="H1180" s="35" t="inlineStr">
        <is>
          <t>Hard</t>
        </is>
      </c>
      <c r="I1180" s="33" t="inlineStr">
        <is>
          <t>NIST</t>
        </is>
      </c>
      <c r="J1180" s="35" t="n"/>
      <c r="K1180" s="33" t="inlineStr">
        <is>
          <t>Added Oct 2026. Spot check before this day goes live.</t>
        </is>
      </c>
      <c r="L1180" s="35">
        <f>COUNTIFS($A$2:$A$1501,A1180,$D$2:$D$1501,D1180)</f>
        <v/>
      </c>
    </row>
    <row r="1181">
      <c r="A1181" s="35" t="n">
        <v>236</v>
      </c>
      <c r="B1181" s="41" t="n">
        <v>46535</v>
      </c>
      <c r="C1181" s="35" t="n">
        <v>5</v>
      </c>
      <c r="D1181" s="33" t="inlineStr">
        <is>
          <t>Distance of the Day</t>
        </is>
      </c>
      <c r="E1181" s="36" t="inlineStr">
        <is>
          <t>How far is it in a straight line from Kelowna to Athens?</t>
        </is>
      </c>
      <c r="F1181" s="42" t="n">
        <v>9600</v>
      </c>
      <c r="G1181" s="33" t="inlineStr">
        <is>
          <t>km</t>
        </is>
      </c>
      <c r="H1181" s="35" t="inlineStr">
        <is>
          <t>Hard</t>
        </is>
      </c>
      <c r="I1181" s="33" t="inlineStr">
        <is>
          <t>Computed great-circle distance (city centre to city centre)</t>
        </is>
      </c>
      <c r="J1181" s="35" t="n"/>
      <c r="K1181" s="33" t="n"/>
      <c r="L1181" s="35">
        <f>COUNTIFS($A$2:$A$1501,A1181,$D$2:$D$1501,D1181)</f>
        <v/>
      </c>
    </row>
    <row r="1182">
      <c r="A1182" s="35" t="n">
        <v>237</v>
      </c>
      <c r="B1182" s="41" t="n">
        <v>46536</v>
      </c>
      <c r="C1182" s="35" t="n">
        <v>1</v>
      </c>
      <c r="D1182" s="33" t="inlineStr">
        <is>
          <t>Geography</t>
        </is>
      </c>
      <c r="E1182" s="36" t="inlineStr">
        <is>
          <t>How many countries make up the United Kingdom?</t>
        </is>
      </c>
      <c r="F1182" s="42" t="n">
        <v>4</v>
      </c>
      <c r="G1182" s="33" t="inlineStr">
        <is>
          <t>countries</t>
        </is>
      </c>
      <c r="H1182" s="35" t="inlineStr">
        <is>
          <t>Easy</t>
        </is>
      </c>
      <c r="I1182" s="33" t="inlineStr">
        <is>
          <t>UK government</t>
        </is>
      </c>
      <c r="J1182" s="35" t="n"/>
      <c r="K1182" s="33" t="inlineStr">
        <is>
          <t>Added Oct 2026. Spot check before this day goes live.</t>
        </is>
      </c>
      <c r="L1182" s="35">
        <f>COUNTIFS($A$2:$A$1501,A1182,$D$2:$D$1501,D1182)</f>
        <v/>
      </c>
    </row>
    <row r="1183">
      <c r="A1183" s="35" t="n">
        <v>237</v>
      </c>
      <c r="B1183" s="41" t="n">
        <v>46536</v>
      </c>
      <c r="C1183" s="35" t="n">
        <v>2</v>
      </c>
      <c r="D1183" s="33" t="inlineStr">
        <is>
          <t>Movies, Music and Games</t>
        </is>
      </c>
      <c r="E1183" s="36" t="inlineStr">
        <is>
          <t>How long is The Shawshank Redemption?</t>
        </is>
      </c>
      <c r="F1183" s="42" t="n">
        <v>142</v>
      </c>
      <c r="G1183" s="33" t="inlineStr">
        <is>
          <t>minutes</t>
        </is>
      </c>
      <c r="H1183" s="35" t="inlineStr">
        <is>
          <t>Medium</t>
        </is>
      </c>
      <c r="I1183" s="33" t="inlineStr">
        <is>
          <t>IMDb</t>
        </is>
      </c>
      <c r="J1183" s="35" t="n"/>
      <c r="K1183" s="33" t="inlineStr">
        <is>
          <t>Added Oct 2026. Spot check before this day goes live.</t>
        </is>
      </c>
      <c r="L1183" s="35">
        <f>COUNTIFS($A$2:$A$1501,A1183,$D$2:$D$1501,D1183)</f>
        <v/>
      </c>
    </row>
    <row r="1184">
      <c r="A1184" s="35" t="n">
        <v>237</v>
      </c>
      <c r="B1184" s="41" t="n">
        <v>46536</v>
      </c>
      <c r="C1184" s="35" t="n">
        <v>3</v>
      </c>
      <c r="D1184" s="33" t="inlineStr">
        <is>
          <t>Food and Everyday Life</t>
        </is>
      </c>
      <c r="E1184" s="36" t="inlineStr">
        <is>
          <t>How many calories are in a large egg?</t>
        </is>
      </c>
      <c r="F1184" s="42" t="n">
        <v>72</v>
      </c>
      <c r="G1184" s="33" t="inlineStr">
        <is>
          <t>calories</t>
        </is>
      </c>
      <c r="H1184" s="35" t="inlineStr">
        <is>
          <t>Medium</t>
        </is>
      </c>
      <c r="I1184" s="33" t="inlineStr">
        <is>
          <t>USDA FoodData Central</t>
        </is>
      </c>
      <c r="J1184" s="35" t="n"/>
      <c r="K1184" s="33" t="inlineStr">
        <is>
          <t>Added Oct 2026. Spot check before this day goes live.</t>
        </is>
      </c>
      <c r="L1184" s="35">
        <f>COUNTIFS($A$2:$A$1501,A1184,$D$2:$D$1501,D1184)</f>
        <v/>
      </c>
    </row>
    <row r="1185">
      <c r="A1185" s="35" t="n">
        <v>237</v>
      </c>
      <c r="B1185" s="41" t="n">
        <v>46536</v>
      </c>
      <c r="C1185" s="35" t="n">
        <v>4</v>
      </c>
      <c r="D1185" s="33" t="inlineStr">
        <is>
          <t>History</t>
        </is>
      </c>
      <c r="E1185" s="36" t="inlineStr">
        <is>
          <t>How many years did the Mughal Empire last?</t>
        </is>
      </c>
      <c r="F1185" s="42" t="n">
        <v>331</v>
      </c>
      <c r="G1185" s="33" t="inlineStr">
        <is>
          <t>years</t>
        </is>
      </c>
      <c r="H1185" s="35" t="inlineStr">
        <is>
          <t>Hard</t>
        </is>
      </c>
      <c r="I1185" s="33" t="inlineStr">
        <is>
          <t>Britannica</t>
        </is>
      </c>
      <c r="J1185" s="35" t="n"/>
      <c r="K1185" s="33" t="inlineStr">
        <is>
          <t>Added Oct 2026. Spot check before this day goes live.</t>
        </is>
      </c>
      <c r="L1185" s="35">
        <f>COUNTIFS($A$2:$A$1501,A1185,$D$2:$D$1501,D1185)</f>
        <v/>
      </c>
    </row>
    <row r="1186">
      <c r="A1186" s="35" t="n">
        <v>237</v>
      </c>
      <c r="B1186" s="41" t="n">
        <v>46536</v>
      </c>
      <c r="C1186" s="35" t="n">
        <v>5</v>
      </c>
      <c r="D1186" s="33" t="inlineStr">
        <is>
          <t>Distance of the Day</t>
        </is>
      </c>
      <c r="E1186" s="36" t="inlineStr">
        <is>
          <t>How far is it in a straight line from Stockholm to Warsaw?</t>
        </is>
      </c>
      <c r="F1186" s="42" t="n">
        <v>810</v>
      </c>
      <c r="G1186" s="33" t="inlineStr">
        <is>
          <t>km</t>
        </is>
      </c>
      <c r="H1186" s="35" t="inlineStr">
        <is>
          <t>Easy</t>
        </is>
      </c>
      <c r="I1186" s="33" t="inlineStr">
        <is>
          <t>Computed great-circle distance (city centre to city centre)</t>
        </is>
      </c>
      <c r="J1186" s="35" t="n"/>
      <c r="K1186" s="33" t="n"/>
      <c r="L1186" s="35">
        <f>COUNTIFS($A$2:$A$1501,A1186,$D$2:$D$1501,D1186)</f>
        <v/>
      </c>
    </row>
    <row r="1187">
      <c r="A1187" s="35" t="n">
        <v>238</v>
      </c>
      <c r="B1187" s="41" t="n">
        <v>46537</v>
      </c>
      <c r="C1187" s="35" t="n">
        <v>1</v>
      </c>
      <c r="D1187" s="33" t="inlineStr">
        <is>
          <t>Space and Science</t>
        </is>
      </c>
      <c r="E1187" s="36" t="inlineStr">
        <is>
          <t>At what temperature does water boil, in Fahrenheit?</t>
        </is>
      </c>
      <c r="F1187" s="42" t="n">
        <v>212</v>
      </c>
      <c r="G1187" s="33" t="inlineStr">
        <is>
          <t>°F</t>
        </is>
      </c>
      <c r="H1187" s="35" t="inlineStr">
        <is>
          <t>Easy</t>
        </is>
      </c>
      <c r="I1187" s="33" t="inlineStr">
        <is>
          <t>NIST</t>
        </is>
      </c>
      <c r="J1187" s="35" t="n"/>
      <c r="K1187" s="33" t="inlineStr">
        <is>
          <t>Added Oct 2026. Spot check before this day goes live.</t>
        </is>
      </c>
      <c r="L1187" s="35">
        <f>COUNTIFS($A$2:$A$1501,A1187,$D$2:$D$1501,D1187)</f>
        <v/>
      </c>
    </row>
    <row r="1188">
      <c r="A1188" s="35" t="n">
        <v>238</v>
      </c>
      <c r="B1188" s="41" t="n">
        <v>46537</v>
      </c>
      <c r="C1188" s="35" t="n">
        <v>2</v>
      </c>
      <c r="D1188" s="33" t="inlineStr">
        <is>
          <t>Human Body</t>
        </is>
      </c>
      <c r="E1188" s="36" t="inlineStr">
        <is>
          <t>What percentage of your body weight is your brain?</t>
        </is>
      </c>
      <c r="F1188" s="42" t="n">
        <v>2</v>
      </c>
      <c r="G1188" s="33" t="inlineStr">
        <is>
          <t>%</t>
        </is>
      </c>
      <c r="H1188" s="35" t="inlineStr">
        <is>
          <t>Medium</t>
        </is>
      </c>
      <c r="I1188" s="33" t="inlineStr">
        <is>
          <t>Britannica</t>
        </is>
      </c>
      <c r="J1188" s="35" t="n"/>
      <c r="K1188" s="33" t="inlineStr">
        <is>
          <t>Added Oct 2026. Spot check before this day goes live.</t>
        </is>
      </c>
      <c r="L1188" s="35">
        <f>COUNTIFS($A$2:$A$1501,A1188,$D$2:$D$1501,D1188)</f>
        <v/>
      </c>
    </row>
    <row r="1189">
      <c r="A1189" s="35" t="n">
        <v>238</v>
      </c>
      <c r="B1189" s="41" t="n">
        <v>46537</v>
      </c>
      <c r="C1189" s="35" t="n">
        <v>3</v>
      </c>
      <c r="D1189" s="33" t="inlineStr">
        <is>
          <t>Animals and Nature</t>
        </is>
      </c>
      <c r="E1189" s="36" t="inlineStr">
        <is>
          <t>How heavy is an adult male polar bear?</t>
        </is>
      </c>
      <c r="F1189" s="42" t="n">
        <v>450</v>
      </c>
      <c r="G1189" s="33" t="inlineStr">
        <is>
          <t>kg</t>
        </is>
      </c>
      <c r="H1189" s="35" t="inlineStr">
        <is>
          <t>Medium</t>
        </is>
      </c>
      <c r="I1189" s="33" t="inlineStr">
        <is>
          <t>Polar Bears International</t>
        </is>
      </c>
      <c r="J1189" s="35" t="n"/>
      <c r="K1189" s="33" t="inlineStr">
        <is>
          <t>Added Oct 2026. Spot check before this day goes live.</t>
        </is>
      </c>
      <c r="L1189" s="35">
        <f>COUNTIFS($A$2:$A$1501,A1189,$D$2:$D$1501,D1189)</f>
        <v/>
      </c>
    </row>
    <row r="1190">
      <c r="A1190" s="35" t="n">
        <v>238</v>
      </c>
      <c r="B1190" s="41" t="n">
        <v>46537</v>
      </c>
      <c r="C1190" s="35" t="n">
        <v>4</v>
      </c>
      <c r="D1190" s="33" t="inlineStr">
        <is>
          <t>Buildings and Engineering</t>
        </is>
      </c>
      <c r="E1190" s="36" t="inlineStr">
        <is>
          <t>How long is the Golden Gate Bridge's total wire in its main cables?</t>
        </is>
      </c>
      <c r="F1190" s="42" t="n">
        <v>129000</v>
      </c>
      <c r="G1190" s="33" t="inlineStr">
        <is>
          <t>km</t>
        </is>
      </c>
      <c r="H1190" s="35" t="inlineStr">
        <is>
          <t>Hard</t>
        </is>
      </c>
      <c r="I1190" s="33" t="inlineStr">
        <is>
          <t>Golden Gate Bridge District</t>
        </is>
      </c>
      <c r="J1190" s="35" t="n"/>
      <c r="K1190" s="33" t="inlineStr">
        <is>
          <t>Added Oct 2026. Spot check before this day goes live.</t>
        </is>
      </c>
      <c r="L1190" s="35">
        <f>COUNTIFS($A$2:$A$1501,A1190,$D$2:$D$1501,D1190)</f>
        <v/>
      </c>
    </row>
    <row r="1191">
      <c r="A1191" s="35" t="n">
        <v>238</v>
      </c>
      <c r="B1191" s="41" t="n">
        <v>46537</v>
      </c>
      <c r="C1191" s="35" t="n">
        <v>5</v>
      </c>
      <c r="D1191" s="33" t="inlineStr">
        <is>
          <t>Distance of the Day</t>
        </is>
      </c>
      <c r="E1191" s="36" t="inlineStr">
        <is>
          <t>How far is it in a straight line from Yellowknife to Seattle?</t>
        </is>
      </c>
      <c r="F1191" s="42" t="n">
        <v>1720</v>
      </c>
      <c r="G1191" s="33" t="inlineStr">
        <is>
          <t>km</t>
        </is>
      </c>
      <c r="H1191" s="35" t="inlineStr">
        <is>
          <t>Medium</t>
        </is>
      </c>
      <c r="I1191" s="33" t="inlineStr">
        <is>
          <t>Computed great-circle distance (city centre to city centre)</t>
        </is>
      </c>
      <c r="J1191" s="35" t="n"/>
      <c r="K1191" s="33" t="n"/>
      <c r="L1191" s="35">
        <f>COUNTIFS($A$2:$A$1501,A1191,$D$2:$D$1501,D1191)</f>
        <v/>
      </c>
    </row>
    <row r="1192">
      <c r="A1192" s="35" t="n">
        <v>239</v>
      </c>
      <c r="B1192" s="41" t="n">
        <v>46538</v>
      </c>
      <c r="C1192" s="35" t="n">
        <v>1</v>
      </c>
      <c r="D1192" s="33" t="inlineStr">
        <is>
          <t>Canada</t>
        </is>
      </c>
      <c r="E1192" s="36" t="inlineStr">
        <is>
          <t>How long is the West Coast Trail on Vancouver Island?</t>
        </is>
      </c>
      <c r="F1192" s="42" t="n">
        <v>75</v>
      </c>
      <c r="G1192" s="33" t="inlineStr">
        <is>
          <t>km</t>
        </is>
      </c>
      <c r="H1192" s="35" t="inlineStr">
        <is>
          <t>Medium</t>
        </is>
      </c>
      <c r="I1192" s="33" t="inlineStr">
        <is>
          <t>Parks Canada</t>
        </is>
      </c>
      <c r="J1192" s="35" t="n"/>
      <c r="K1192" s="33" t="inlineStr">
        <is>
          <t>Added Oct 2026. Spot check before this day goes live.</t>
        </is>
      </c>
      <c r="L1192" s="35">
        <f>COUNTIFS($A$2:$A$1501,A1192,$D$2:$D$1501,D1192)</f>
        <v/>
      </c>
    </row>
    <row r="1193">
      <c r="A1193" s="35" t="n">
        <v>239</v>
      </c>
      <c r="B1193" s="41" t="n">
        <v>46538</v>
      </c>
      <c r="C1193" s="35" t="n">
        <v>2</v>
      </c>
      <c r="D1193" s="33" t="inlineStr">
        <is>
          <t>Movies, Music and Games</t>
        </is>
      </c>
      <c r="E1193" s="36" t="inlineStr">
        <is>
          <t>How much money does each player start with in classic US Monopoly?</t>
        </is>
      </c>
      <c r="F1193" s="42" t="n">
        <v>1500</v>
      </c>
      <c r="G1193" s="33" t="inlineStr">
        <is>
          <t>dollars</t>
        </is>
      </c>
      <c r="H1193" s="35" t="inlineStr">
        <is>
          <t>Medium</t>
        </is>
      </c>
      <c r="I1193" s="33" t="inlineStr">
        <is>
          <t>Hasbro</t>
        </is>
      </c>
      <c r="J1193" s="35" t="n"/>
      <c r="K1193" s="33" t="inlineStr">
        <is>
          <t>Added Oct 2026. Spot check before this day goes live.</t>
        </is>
      </c>
      <c r="L1193" s="35">
        <f>COUNTIFS($A$2:$A$1501,A1193,$D$2:$D$1501,D1193)</f>
        <v/>
      </c>
    </row>
    <row r="1194">
      <c r="A1194" s="35" t="n">
        <v>239</v>
      </c>
      <c r="B1194" s="41" t="n">
        <v>46538</v>
      </c>
      <c r="C1194" s="35" t="n">
        <v>3</v>
      </c>
      <c r="D1194" s="33" t="inlineStr">
        <is>
          <t>Geography</t>
        </is>
      </c>
      <c r="E1194" s="36" t="inlineStr">
        <is>
          <t>How big is New Zealand?</t>
        </is>
      </c>
      <c r="F1194" s="42" t="n">
        <v>268021</v>
      </c>
      <c r="G1194" s="33" t="inlineStr">
        <is>
          <t>km²</t>
        </is>
      </c>
      <c r="H1194" s="35" t="inlineStr">
        <is>
          <t>Hard</t>
        </is>
      </c>
      <c r="I1194" s="33" t="inlineStr">
        <is>
          <t>CIA World Factbook</t>
        </is>
      </c>
      <c r="J1194" s="35" t="n"/>
      <c r="K1194" s="33" t="inlineStr">
        <is>
          <t>Added Oct 2026. Spot check before this day goes live.</t>
        </is>
      </c>
      <c r="L1194" s="35">
        <f>COUNTIFS($A$2:$A$1501,A1194,$D$2:$D$1501,D1194)</f>
        <v/>
      </c>
    </row>
    <row r="1195">
      <c r="A1195" s="35" t="n">
        <v>239</v>
      </c>
      <c r="B1195" s="41" t="n">
        <v>46538</v>
      </c>
      <c r="C1195" s="35" t="n">
        <v>4</v>
      </c>
      <c r="D1195" s="33" t="inlineStr">
        <is>
          <t>Sports</t>
        </is>
      </c>
      <c r="E1195" s="36" t="inlineStr">
        <is>
          <t>How wide is a sumo wrestling ring?</t>
        </is>
      </c>
      <c r="F1195" s="42" t="n">
        <v>4.55</v>
      </c>
      <c r="G1195" s="33" t="inlineStr">
        <is>
          <t>metres</t>
        </is>
      </c>
      <c r="H1195" s="35" t="inlineStr">
        <is>
          <t>Hard</t>
        </is>
      </c>
      <c r="I1195" s="33" t="inlineStr">
        <is>
          <t>Japan Sumo Association</t>
        </is>
      </c>
      <c r="J1195" s="35" t="n"/>
      <c r="K1195" s="33" t="inlineStr">
        <is>
          <t>Added Oct 2026. Spot check before this day goes live.</t>
        </is>
      </c>
      <c r="L1195" s="35">
        <f>COUNTIFS($A$2:$A$1501,A1195,$D$2:$D$1501,D1195)</f>
        <v/>
      </c>
    </row>
    <row r="1196">
      <c r="A1196" s="35" t="n">
        <v>239</v>
      </c>
      <c r="B1196" s="41" t="n">
        <v>46538</v>
      </c>
      <c r="C1196" s="35" t="n">
        <v>5</v>
      </c>
      <c r="D1196" s="33" t="inlineStr">
        <is>
          <t>Distance of the Day</t>
        </is>
      </c>
      <c r="E1196" s="36" t="inlineStr">
        <is>
          <t>How far is it in a straight line from Hamilton to Istanbul?</t>
        </is>
      </c>
      <c r="F1196" s="42" t="n">
        <v>8250</v>
      </c>
      <c r="G1196" s="33" t="inlineStr">
        <is>
          <t>km</t>
        </is>
      </c>
      <c r="H1196" s="35" t="inlineStr">
        <is>
          <t>Hard</t>
        </is>
      </c>
      <c r="I1196" s="33" t="inlineStr">
        <is>
          <t>Computed great-circle distance (city centre to city centre)</t>
        </is>
      </c>
      <c r="J1196" s="35" t="n"/>
      <c r="K1196" s="33" t="n"/>
      <c r="L1196" s="35">
        <f>COUNTIFS($A$2:$A$1501,A1196,$D$2:$D$1501,D1196)</f>
        <v/>
      </c>
    </row>
    <row r="1197">
      <c r="A1197" s="35" t="n">
        <v>240</v>
      </c>
      <c r="B1197" s="41" t="n">
        <v>46539</v>
      </c>
      <c r="C1197" s="35" t="n">
        <v>1</v>
      </c>
      <c r="D1197" s="33" t="inlineStr">
        <is>
          <t>Space and Science</t>
        </is>
      </c>
      <c r="E1197" s="36" t="inlineStr">
        <is>
          <t>How hard is a diamond on the Mohs scale?</t>
        </is>
      </c>
      <c r="F1197" s="42" t="n">
        <v>10</v>
      </c>
      <c r="G1197" s="33" t="inlineStr">
        <is>
          <t>Mohs</t>
        </is>
      </c>
      <c r="H1197" s="35" t="inlineStr">
        <is>
          <t>Easy</t>
        </is>
      </c>
      <c r="I1197" s="33" t="inlineStr">
        <is>
          <t>Mineralogical Society of America</t>
        </is>
      </c>
      <c r="J1197" s="35" t="n"/>
      <c r="K1197" s="33" t="inlineStr">
        <is>
          <t>Added Oct 2026. Spot check before this day goes live.</t>
        </is>
      </c>
      <c r="L1197" s="35">
        <f>COUNTIFS($A$2:$A$1501,A1197,$D$2:$D$1501,D1197)</f>
        <v/>
      </c>
    </row>
    <row r="1198">
      <c r="A1198" s="35" t="n">
        <v>240</v>
      </c>
      <c r="B1198" s="41" t="n">
        <v>46539</v>
      </c>
      <c r="C1198" s="35" t="n">
        <v>2</v>
      </c>
      <c r="D1198" s="33" t="inlineStr">
        <is>
          <t>Human Body</t>
        </is>
      </c>
      <c r="E1198" s="36" t="inlineStr">
        <is>
          <t>How long is the DNA in one human cell, stretched out?</t>
        </is>
      </c>
      <c r="F1198" s="42" t="n">
        <v>2</v>
      </c>
      <c r="G1198" s="33" t="inlineStr">
        <is>
          <t>metres</t>
        </is>
      </c>
      <c r="H1198" s="35" t="inlineStr">
        <is>
          <t>Medium</t>
        </is>
      </c>
      <c r="I1198" s="33" t="inlineStr">
        <is>
          <t>NIH</t>
        </is>
      </c>
      <c r="J1198" s="35" t="n"/>
      <c r="K1198" s="33" t="inlineStr">
        <is>
          <t>Added Oct 2026. Spot check before this day goes live.</t>
        </is>
      </c>
      <c r="L1198" s="35">
        <f>COUNTIFS($A$2:$A$1501,A1198,$D$2:$D$1501,D1198)</f>
        <v/>
      </c>
    </row>
    <row r="1199">
      <c r="A1199" s="35" t="n">
        <v>240</v>
      </c>
      <c r="B1199" s="41" t="n">
        <v>46539</v>
      </c>
      <c r="C1199" s="35" t="n">
        <v>3</v>
      </c>
      <c r="D1199" s="33" t="inlineStr">
        <is>
          <t>Animals and Nature</t>
        </is>
      </c>
      <c r="E1199" s="36" t="inlineStr">
        <is>
          <t>How many days is a giraffe pregnant for?</t>
        </is>
      </c>
      <c r="F1199" s="42" t="n">
        <v>450</v>
      </c>
      <c r="G1199" s="33" t="inlineStr">
        <is>
          <t>days</t>
        </is>
      </c>
      <c r="H1199" s="35" t="inlineStr">
        <is>
          <t>Hard</t>
        </is>
      </c>
      <c r="I1199" s="33" t="inlineStr">
        <is>
          <t>San Diego Zoo</t>
        </is>
      </c>
      <c r="J1199" s="35" t="n"/>
      <c r="K1199" s="33" t="inlineStr">
        <is>
          <t>Added Oct 2026. Spot check before this day goes live.</t>
        </is>
      </c>
      <c r="L1199" s="35">
        <f>COUNTIFS($A$2:$A$1501,A1199,$D$2:$D$1501,D1199)</f>
        <v/>
      </c>
    </row>
    <row r="1200">
      <c r="A1200" s="35" t="n">
        <v>240</v>
      </c>
      <c r="B1200" s="41" t="n">
        <v>46539</v>
      </c>
      <c r="C1200" s="35" t="n">
        <v>4</v>
      </c>
      <c r="D1200" s="33" t="inlineStr">
        <is>
          <t>Buildings and Engineering</t>
        </is>
      </c>
      <c r="E1200" s="36" t="inlineStr">
        <is>
          <t>How tall is the Chrysler Building?</t>
        </is>
      </c>
      <c r="F1200" s="42" t="n">
        <v>319</v>
      </c>
      <c r="G1200" s="33" t="inlineStr">
        <is>
          <t>metres</t>
        </is>
      </c>
      <c r="H1200" s="35" t="inlineStr">
        <is>
          <t>Hard</t>
        </is>
      </c>
      <c r="I1200" s="33" t="inlineStr">
        <is>
          <t>CTBUH</t>
        </is>
      </c>
      <c r="J1200" s="35" t="n"/>
      <c r="K1200" s="33" t="inlineStr">
        <is>
          <t>Added Oct 2026. Spot check before this day goes live.</t>
        </is>
      </c>
      <c r="L1200" s="35">
        <f>COUNTIFS($A$2:$A$1501,A1200,$D$2:$D$1501,D1200)</f>
        <v/>
      </c>
    </row>
    <row r="1201">
      <c r="A1201" s="35" t="n">
        <v>240</v>
      </c>
      <c r="B1201" s="41" t="n">
        <v>46539</v>
      </c>
      <c r="C1201" s="35" t="n">
        <v>5</v>
      </c>
      <c r="D1201" s="33" t="inlineStr">
        <is>
          <t>Distance of the Day</t>
        </is>
      </c>
      <c r="E1201" s="36" t="inlineStr">
        <is>
          <t>How far is it in a straight line from Buffalo to Nashville?</t>
        </is>
      </c>
      <c r="F1201" s="42" t="n">
        <v>1010</v>
      </c>
      <c r="G1201" s="33" t="inlineStr">
        <is>
          <t>km</t>
        </is>
      </c>
      <c r="H1201" s="35" t="inlineStr">
        <is>
          <t>Easy</t>
        </is>
      </c>
      <c r="I1201" s="33" t="inlineStr">
        <is>
          <t>Computed great-circle distance (city centre to city centre)</t>
        </is>
      </c>
      <c r="J1201" s="35" t="n"/>
      <c r="K1201" s="33" t="n"/>
      <c r="L1201" s="35">
        <f>COUNTIFS($A$2:$A$1501,A1201,$D$2:$D$1501,D1201)</f>
        <v/>
      </c>
    </row>
    <row r="1202">
      <c r="A1202" s="35" t="n">
        <v>241</v>
      </c>
      <c r="B1202" s="41" t="n">
        <v>46540</v>
      </c>
      <c r="C1202" s="35" t="n">
        <v>1</v>
      </c>
      <c r="D1202" s="33" t="inlineStr">
        <is>
          <t>Geography</t>
        </is>
      </c>
      <c r="E1202" s="36" t="inlineStr">
        <is>
          <t>How many time zones does the mainland United States have?</t>
        </is>
      </c>
      <c r="F1202" s="42" t="n">
        <v>4</v>
      </c>
      <c r="G1202" s="33" t="inlineStr">
        <is>
          <t>time zones</t>
        </is>
      </c>
      <c r="H1202" s="35" t="inlineStr">
        <is>
          <t>Easy</t>
        </is>
      </c>
      <c r="I1202" s="33" t="inlineStr">
        <is>
          <t>US Department of Transportation</t>
        </is>
      </c>
      <c r="J1202" s="35" t="n"/>
      <c r="K1202" s="33" t="inlineStr">
        <is>
          <t>Added Oct 2026. Spot check before this day goes live.</t>
        </is>
      </c>
      <c r="L1202" s="35">
        <f>COUNTIFS($A$2:$A$1501,A1202,$D$2:$D$1501,D1202)</f>
        <v/>
      </c>
    </row>
    <row r="1203">
      <c r="A1203" s="35" t="n">
        <v>241</v>
      </c>
      <c r="B1203" s="41" t="n">
        <v>46540</v>
      </c>
      <c r="C1203" s="35" t="n">
        <v>2</v>
      </c>
      <c r="D1203" s="33" t="inlineStr">
        <is>
          <t>Sports</t>
        </is>
      </c>
      <c r="E1203" s="36" t="inlineStr">
        <is>
          <t>What is the maximum break in snooker?</t>
        </is>
      </c>
      <c r="F1203" s="42" t="n">
        <v>147</v>
      </c>
      <c r="G1203" s="33" t="inlineStr">
        <is>
          <t>points</t>
        </is>
      </c>
      <c r="H1203" s="35" t="inlineStr">
        <is>
          <t>Medium</t>
        </is>
      </c>
      <c r="I1203" s="33" t="inlineStr">
        <is>
          <t>World Snooker</t>
        </is>
      </c>
      <c r="J1203" s="35" t="n"/>
      <c r="K1203" s="33" t="inlineStr">
        <is>
          <t>Added Oct 2026. Spot check before this day goes live.</t>
        </is>
      </c>
      <c r="L1203" s="35">
        <f>COUNTIFS($A$2:$A$1501,A1203,$D$2:$D$1501,D1203)</f>
        <v/>
      </c>
    </row>
    <row r="1204">
      <c r="A1204" s="35" t="n">
        <v>241</v>
      </c>
      <c r="B1204" s="41" t="n">
        <v>46540</v>
      </c>
      <c r="C1204" s="35" t="n">
        <v>3</v>
      </c>
      <c r="D1204" s="33" t="inlineStr">
        <is>
          <t>Canada</t>
        </is>
      </c>
      <c r="E1204" s="36" t="inlineStr">
        <is>
          <t>How many points does the maple leaf on Canada's flag have?</t>
        </is>
      </c>
      <c r="F1204" s="42" t="n">
        <v>11</v>
      </c>
      <c r="G1204" s="33" t="inlineStr">
        <is>
          <t>points</t>
        </is>
      </c>
      <c r="H1204" s="35" t="inlineStr">
        <is>
          <t>Medium</t>
        </is>
      </c>
      <c r="I1204" s="33" t="inlineStr">
        <is>
          <t>Government of Canada</t>
        </is>
      </c>
      <c r="J1204" s="35" t="n"/>
      <c r="K1204" s="33" t="inlineStr">
        <is>
          <t>Added Oct 2026. Spot check before this day goes live.</t>
        </is>
      </c>
      <c r="L1204" s="35">
        <f>COUNTIFS($A$2:$A$1501,A1204,$D$2:$D$1501,D1204)</f>
        <v/>
      </c>
    </row>
    <row r="1205">
      <c r="A1205" s="35" t="n">
        <v>241</v>
      </c>
      <c r="B1205" s="41" t="n">
        <v>46540</v>
      </c>
      <c r="C1205" s="35" t="n">
        <v>4</v>
      </c>
      <c r="D1205" s="33" t="inlineStr">
        <is>
          <t>History</t>
        </is>
      </c>
      <c r="E1205" s="36" t="inlineStr">
        <is>
          <t>How many years did Henry VIII reign?</t>
        </is>
      </c>
      <c r="F1205" s="42" t="n">
        <v>38</v>
      </c>
      <c r="G1205" s="33" t="inlineStr">
        <is>
          <t>years</t>
        </is>
      </c>
      <c r="H1205" s="35" t="inlineStr">
        <is>
          <t>Hard</t>
        </is>
      </c>
      <c r="I1205" s="33" t="inlineStr">
        <is>
          <t>Royal Collection Trust</t>
        </is>
      </c>
      <c r="J1205" s="35" t="n"/>
      <c r="K1205" s="33" t="inlineStr">
        <is>
          <t>Added Oct 2026. Spot check before this day goes live.</t>
        </is>
      </c>
      <c r="L1205" s="35">
        <f>COUNTIFS($A$2:$A$1501,A1205,$D$2:$D$1501,D1205)</f>
        <v/>
      </c>
    </row>
    <row r="1206">
      <c r="A1206" s="35" t="n">
        <v>241</v>
      </c>
      <c r="B1206" s="41" t="n">
        <v>46540</v>
      </c>
      <c r="C1206" s="35" t="n">
        <v>5</v>
      </c>
      <c r="D1206" s="33" t="inlineStr">
        <is>
          <t>Distance of the Day</t>
        </is>
      </c>
      <c r="E1206" s="36" t="inlineStr">
        <is>
          <t>How far is it in a straight line from Honolulu to Havana?</t>
        </is>
      </c>
      <c r="F1206" s="42" t="n">
        <v>7680</v>
      </c>
      <c r="G1206" s="33" t="inlineStr">
        <is>
          <t>km</t>
        </is>
      </c>
      <c r="H1206" s="35" t="inlineStr">
        <is>
          <t>Medium</t>
        </is>
      </c>
      <c r="I1206" s="33" t="inlineStr">
        <is>
          <t>Computed great-circle distance (city centre to city centre)</t>
        </is>
      </c>
      <c r="J1206" s="35" t="n"/>
      <c r="K1206" s="33" t="n"/>
      <c r="L1206" s="35">
        <f>COUNTIFS($A$2:$A$1501,A1206,$D$2:$D$1501,D1206)</f>
        <v/>
      </c>
    </row>
    <row r="1207">
      <c r="A1207" s="35" t="n">
        <v>242</v>
      </c>
      <c r="B1207" s="41" t="n">
        <v>46541</v>
      </c>
      <c r="C1207" s="35" t="n">
        <v>1</v>
      </c>
      <c r="D1207" s="33" t="inlineStr">
        <is>
          <t>Food and Everyday Life</t>
        </is>
      </c>
      <c r="E1207" s="36" t="inlineStr">
        <is>
          <t>How many calories are in a cup of whole milk?</t>
        </is>
      </c>
      <c r="F1207" s="42" t="n">
        <v>150</v>
      </c>
      <c r="G1207" s="33" t="inlineStr">
        <is>
          <t>calories</t>
        </is>
      </c>
      <c r="H1207" s="35" t="inlineStr">
        <is>
          <t>Medium</t>
        </is>
      </c>
      <c r="I1207" s="33" t="inlineStr">
        <is>
          <t>USDA FoodData Central</t>
        </is>
      </c>
      <c r="J1207" s="35" t="n"/>
      <c r="K1207" s="33" t="inlineStr">
        <is>
          <t>Added Oct 2026. Spot check before this day goes live.</t>
        </is>
      </c>
      <c r="L1207" s="35">
        <f>COUNTIFS($A$2:$A$1501,A1207,$D$2:$D$1501,D1207)</f>
        <v/>
      </c>
    </row>
    <row r="1208">
      <c r="A1208" s="35" t="n">
        <v>242</v>
      </c>
      <c r="B1208" s="41" t="n">
        <v>46541</v>
      </c>
      <c r="C1208" s="35" t="n">
        <v>2</v>
      </c>
      <c r="D1208" s="33" t="inlineStr">
        <is>
          <t>Human Body</t>
        </is>
      </c>
      <c r="E1208" s="36" t="inlineStr">
        <is>
          <t>What percentage of the brain is water?</t>
        </is>
      </c>
      <c r="F1208" s="42" t="n">
        <v>75</v>
      </c>
      <c r="G1208" s="33" t="inlineStr">
        <is>
          <t>%</t>
        </is>
      </c>
      <c r="H1208" s="35" t="inlineStr">
        <is>
          <t>Medium</t>
        </is>
      </c>
      <c r="I1208" s="33" t="inlineStr">
        <is>
          <t>USGS</t>
        </is>
      </c>
      <c r="J1208" s="35" t="n"/>
      <c r="K1208" s="33" t="inlineStr">
        <is>
          <t>Added Oct 2026. Spot check before this day goes live.</t>
        </is>
      </c>
      <c r="L1208" s="35">
        <f>COUNTIFS($A$2:$A$1501,A1208,$D$2:$D$1501,D1208)</f>
        <v/>
      </c>
    </row>
    <row r="1209">
      <c r="A1209" s="35" t="n">
        <v>242</v>
      </c>
      <c r="B1209" s="41" t="n">
        <v>46541</v>
      </c>
      <c r="C1209" s="35" t="n">
        <v>3</v>
      </c>
      <c r="D1209" s="33" t="inlineStr">
        <is>
          <t>Animals and Nature</t>
        </is>
      </c>
      <c r="E1209" s="36" t="inlineStr">
        <is>
          <t>How deep can an emperor penguin dive?</t>
        </is>
      </c>
      <c r="F1209" s="42" t="n">
        <v>564</v>
      </c>
      <c r="G1209" s="33" t="inlineStr">
        <is>
          <t>metres</t>
        </is>
      </c>
      <c r="H1209" s="35" t="inlineStr">
        <is>
          <t>Hard</t>
        </is>
      </c>
      <c r="I1209" s="33" t="inlineStr">
        <is>
          <t>British Antarctic Survey</t>
        </is>
      </c>
      <c r="J1209" s="35" t="n"/>
      <c r="K1209" s="33" t="inlineStr">
        <is>
          <t>Added Oct 2026. Spot check before this day goes live.</t>
        </is>
      </c>
      <c r="L1209" s="35">
        <f>COUNTIFS($A$2:$A$1501,A1209,$D$2:$D$1501,D1209)</f>
        <v/>
      </c>
    </row>
    <row r="1210">
      <c r="A1210" s="35" t="n">
        <v>242</v>
      </c>
      <c r="B1210" s="41" t="n">
        <v>46541</v>
      </c>
      <c r="C1210" s="35" t="n">
        <v>4</v>
      </c>
      <c r="D1210" s="33" t="inlineStr">
        <is>
          <t>Space and Science</t>
        </is>
      </c>
      <c r="E1210" s="36" t="inlineStr">
        <is>
          <t>What is the diameter of Saturn?</t>
        </is>
      </c>
      <c r="F1210" s="42" t="n">
        <v>116460</v>
      </c>
      <c r="G1210" s="33" t="inlineStr">
        <is>
          <t>km</t>
        </is>
      </c>
      <c r="H1210" s="35" t="inlineStr">
        <is>
          <t>Hard</t>
        </is>
      </c>
      <c r="I1210" s="33" t="inlineStr">
        <is>
          <t>NASA</t>
        </is>
      </c>
      <c r="J1210" s="35" t="n"/>
      <c r="K1210" s="33" t="inlineStr">
        <is>
          <t>Added Oct 2026. Spot check before this day goes live.</t>
        </is>
      </c>
      <c r="L1210" s="35">
        <f>COUNTIFS($A$2:$A$1501,A1210,$D$2:$D$1501,D1210)</f>
        <v/>
      </c>
    </row>
    <row r="1211">
      <c r="A1211" s="35" t="n">
        <v>242</v>
      </c>
      <c r="B1211" s="41" t="n">
        <v>46541</v>
      </c>
      <c r="C1211" s="35" t="n">
        <v>5</v>
      </c>
      <c r="D1211" s="33" t="inlineStr">
        <is>
          <t>Distance of the Day</t>
        </is>
      </c>
      <c r="E1211" s="36" t="inlineStr">
        <is>
          <t>How far is it in a straight line from Windsor to Colombo?</t>
        </is>
      </c>
      <c r="F1211" s="42" t="n">
        <v>14270</v>
      </c>
      <c r="G1211" s="33" t="inlineStr">
        <is>
          <t>km</t>
        </is>
      </c>
      <c r="H1211" s="35" t="inlineStr">
        <is>
          <t>Hard</t>
        </is>
      </c>
      <c r="I1211" s="33" t="inlineStr">
        <is>
          <t>Computed great-circle distance (city centre to city centre)</t>
        </is>
      </c>
      <c r="J1211" s="35" t="n"/>
      <c r="K1211" s="33" t="n"/>
      <c r="L1211" s="35">
        <f>COUNTIFS($A$2:$A$1501,A1211,$D$2:$D$1501,D1211)</f>
        <v/>
      </c>
    </row>
    <row r="1212">
      <c r="A1212" s="35" t="n">
        <v>243</v>
      </c>
      <c r="B1212" s="41" t="n">
        <v>46542</v>
      </c>
      <c r="C1212" s="35" t="n">
        <v>1</v>
      </c>
      <c r="D1212" s="33" t="inlineStr">
        <is>
          <t>History</t>
        </is>
      </c>
      <c r="E1212" s="36" t="inlineStr">
        <is>
          <t>How many years did World War II last?</t>
        </is>
      </c>
      <c r="F1212" s="42" t="n">
        <v>6</v>
      </c>
      <c r="G1212" s="33" t="inlineStr">
        <is>
          <t>years</t>
        </is>
      </c>
      <c r="H1212" s="35" t="inlineStr">
        <is>
          <t>Easy</t>
        </is>
      </c>
      <c r="I1212" s="33" t="inlineStr">
        <is>
          <t>Imperial War Museums</t>
        </is>
      </c>
      <c r="J1212" s="35" t="n"/>
      <c r="K1212" s="33" t="inlineStr">
        <is>
          <t>Added Oct 2026. Spot check before this day goes live.</t>
        </is>
      </c>
      <c r="L1212" s="35">
        <f>COUNTIFS($A$2:$A$1501,A1212,$D$2:$D$1501,D1212)</f>
        <v/>
      </c>
    </row>
    <row r="1213">
      <c r="A1213" s="35" t="n">
        <v>243</v>
      </c>
      <c r="B1213" s="41" t="n">
        <v>46542</v>
      </c>
      <c r="C1213" s="35" t="n">
        <v>2</v>
      </c>
      <c r="D1213" s="33" t="inlineStr">
        <is>
          <t>Movies, Music and Games</t>
        </is>
      </c>
      <c r="E1213" s="36" t="inlineStr">
        <is>
          <t>How many squares are in a standard Sudoku grid?</t>
        </is>
      </c>
      <c r="F1213" s="42" t="n">
        <v>81</v>
      </c>
      <c r="G1213" s="33" t="inlineStr">
        <is>
          <t>squares</t>
        </is>
      </c>
      <c r="H1213" s="35" t="inlineStr">
        <is>
          <t>Medium</t>
        </is>
      </c>
      <c r="I1213" s="33" t="inlineStr">
        <is>
          <t>Britannica</t>
        </is>
      </c>
      <c r="J1213" s="35" t="n"/>
      <c r="K1213" s="33" t="inlineStr">
        <is>
          <t>Added Oct 2026. Spot check before this day goes live.</t>
        </is>
      </c>
      <c r="L1213" s="35">
        <f>COUNTIFS($A$2:$A$1501,A1213,$D$2:$D$1501,D1213)</f>
        <v/>
      </c>
    </row>
    <row r="1214">
      <c r="A1214" s="35" t="n">
        <v>243</v>
      </c>
      <c r="B1214" s="41" t="n">
        <v>46542</v>
      </c>
      <c r="C1214" s="35" t="n">
        <v>3</v>
      </c>
      <c r="D1214" s="33" t="inlineStr">
        <is>
          <t>Geography</t>
        </is>
      </c>
      <c r="E1214" s="36" t="inlineStr">
        <is>
          <t>How tall is Mount Ararat?</t>
        </is>
      </c>
      <c r="F1214" s="42" t="n">
        <v>5137</v>
      </c>
      <c r="G1214" s="33" t="inlineStr">
        <is>
          <t>metres</t>
        </is>
      </c>
      <c r="H1214" s="35" t="inlineStr">
        <is>
          <t>Hard</t>
        </is>
      </c>
      <c r="I1214" s="33" t="inlineStr">
        <is>
          <t>Britannica</t>
        </is>
      </c>
      <c r="J1214" s="35" t="n"/>
      <c r="K1214" s="33" t="inlineStr">
        <is>
          <t>Added Oct 2026. Spot check before this day goes live.</t>
        </is>
      </c>
      <c r="L1214" s="35">
        <f>COUNTIFS($A$2:$A$1501,A1214,$D$2:$D$1501,D1214)</f>
        <v/>
      </c>
    </row>
    <row r="1215">
      <c r="A1215" s="35" t="n">
        <v>243</v>
      </c>
      <c r="B1215" s="41" t="n">
        <v>46542</v>
      </c>
      <c r="C1215" s="35" t="n">
        <v>4</v>
      </c>
      <c r="D1215" s="33" t="inlineStr">
        <is>
          <t>Buildings and Engineering</t>
        </is>
      </c>
      <c r="E1215" s="36" t="inlineStr">
        <is>
          <t>How much of the Channel Tunnel runs under the sea?</t>
        </is>
      </c>
      <c r="F1215" s="42" t="n">
        <v>38</v>
      </c>
      <c r="G1215" s="33" t="inlineStr">
        <is>
          <t>km</t>
        </is>
      </c>
      <c r="H1215" s="35" t="inlineStr">
        <is>
          <t>Hard</t>
        </is>
      </c>
      <c r="I1215" s="33" t="inlineStr">
        <is>
          <t>Getlink</t>
        </is>
      </c>
      <c r="J1215" s="35" t="n"/>
      <c r="K1215" s="33" t="inlineStr">
        <is>
          <t>Added Oct 2026. Spot check before this day goes live.</t>
        </is>
      </c>
      <c r="L1215" s="35">
        <f>COUNTIFS($A$2:$A$1501,A1215,$D$2:$D$1501,D1215)</f>
        <v/>
      </c>
    </row>
    <row r="1216">
      <c r="A1216" s="35" t="n">
        <v>243</v>
      </c>
      <c r="B1216" s="41" t="n">
        <v>46542</v>
      </c>
      <c r="C1216" s="35" t="n">
        <v>5</v>
      </c>
      <c r="D1216" s="33" t="inlineStr">
        <is>
          <t>Distance of the Day</t>
        </is>
      </c>
      <c r="E1216" s="36" t="inlineStr">
        <is>
          <t>How far is it in a straight line from Montreal to Seattle?</t>
        </is>
      </c>
      <c r="F1216" s="42" t="n">
        <v>3670</v>
      </c>
      <c r="G1216" s="33" t="inlineStr">
        <is>
          <t>km</t>
        </is>
      </c>
      <c r="H1216" s="35" t="inlineStr">
        <is>
          <t>Medium</t>
        </is>
      </c>
      <c r="I1216" s="33" t="inlineStr">
        <is>
          <t>Computed great-circle distance (city centre to city centre)</t>
        </is>
      </c>
      <c r="J1216" s="35" t="n"/>
      <c r="K1216" s="33" t="n"/>
      <c r="L1216" s="35">
        <f>COUNTIFS($A$2:$A$1501,A1216,$D$2:$D$1501,D1216)</f>
        <v/>
      </c>
    </row>
    <row r="1217">
      <c r="A1217" s="35" t="n">
        <v>244</v>
      </c>
      <c r="B1217" s="41" t="n">
        <v>46543</v>
      </c>
      <c r="C1217" s="35" t="n">
        <v>1</v>
      </c>
      <c r="D1217" s="33" t="inlineStr">
        <is>
          <t>Food and Everyday Life</t>
        </is>
      </c>
      <c r="E1217" s="36" t="inlineStr">
        <is>
          <t>How many sides does a stop sign have?</t>
        </is>
      </c>
      <c r="F1217" s="42" t="n">
        <v>8</v>
      </c>
      <c r="G1217" s="33" t="inlineStr">
        <is>
          <t>sides</t>
        </is>
      </c>
      <c r="H1217" s="35" t="inlineStr">
        <is>
          <t>Easy</t>
        </is>
      </c>
      <c r="I1217" s="33" t="inlineStr">
        <is>
          <t>Transport Canada</t>
        </is>
      </c>
      <c r="J1217" s="35" t="n"/>
      <c r="K1217" s="33" t="inlineStr">
        <is>
          <t>Added Oct 2026. Spot check before this day goes live.</t>
        </is>
      </c>
      <c r="L1217" s="35">
        <f>COUNTIFS($A$2:$A$1501,A1217,$D$2:$D$1501,D1217)</f>
        <v/>
      </c>
    </row>
    <row r="1218">
      <c r="A1218" s="35" t="n">
        <v>244</v>
      </c>
      <c r="B1218" s="41" t="n">
        <v>46543</v>
      </c>
      <c r="C1218" s="35" t="n">
        <v>2</v>
      </c>
      <c r="D1218" s="33" t="inlineStr">
        <is>
          <t>Sports</t>
        </is>
      </c>
      <c r="E1218" s="36" t="inlineStr">
        <is>
          <t>How wide is an NHL goal?</t>
        </is>
      </c>
      <c r="F1218" s="42" t="n">
        <v>6</v>
      </c>
      <c r="G1218" s="33" t="inlineStr">
        <is>
          <t>feet</t>
        </is>
      </c>
      <c r="H1218" s="35" t="inlineStr">
        <is>
          <t>Medium</t>
        </is>
      </c>
      <c r="I1218" s="33" t="inlineStr">
        <is>
          <t>NHL rulebook</t>
        </is>
      </c>
      <c r="J1218" s="35" t="n"/>
      <c r="K1218" s="33" t="inlineStr">
        <is>
          <t>Added Oct 2026. Spot check before this day goes live.</t>
        </is>
      </c>
      <c r="L1218" s="35">
        <f>COUNTIFS($A$2:$A$1501,A1218,$D$2:$D$1501,D1218)</f>
        <v/>
      </c>
    </row>
    <row r="1219">
      <c r="A1219" s="35" t="n">
        <v>244</v>
      </c>
      <c r="B1219" s="41" t="n">
        <v>46543</v>
      </c>
      <c r="C1219" s="35" t="n">
        <v>3</v>
      </c>
      <c r="D1219" s="33" t="inlineStr">
        <is>
          <t>Canada</t>
        </is>
      </c>
      <c r="E1219" s="36" t="inlineStr">
        <is>
          <t>How many days does VIA Rail's The Canadian take to go from Toronto to Vancouver?</t>
        </is>
      </c>
      <c r="F1219" s="42" t="n">
        <v>4</v>
      </c>
      <c r="G1219" s="33" t="inlineStr">
        <is>
          <t>days</t>
        </is>
      </c>
      <c r="H1219" s="35" t="inlineStr">
        <is>
          <t>Medium</t>
        </is>
      </c>
      <c r="I1219" s="33" t="inlineStr">
        <is>
          <t>VIA Rail</t>
        </is>
      </c>
      <c r="J1219" s="35" t="n"/>
      <c r="K1219" s="33" t="inlineStr">
        <is>
          <t>Added Oct 2026. Spot check before this day goes live.</t>
        </is>
      </c>
      <c r="L1219" s="35">
        <f>COUNTIFS($A$2:$A$1501,A1219,$D$2:$D$1501,D1219)</f>
        <v/>
      </c>
    </row>
    <row r="1220">
      <c r="A1220" s="35" t="n">
        <v>244</v>
      </c>
      <c r="B1220" s="41" t="n">
        <v>46543</v>
      </c>
      <c r="C1220" s="35" t="n">
        <v>4</v>
      </c>
      <c r="D1220" s="33" t="inlineStr">
        <is>
          <t>Animals and Nature</t>
        </is>
      </c>
      <c r="E1220" s="36" t="inlineStr">
        <is>
          <t>How many feathers does a swan have?</t>
        </is>
      </c>
      <c r="F1220" s="42" t="n">
        <v>25000</v>
      </c>
      <c r="G1220" s="33" t="inlineStr">
        <is>
          <t>feathers</t>
        </is>
      </c>
      <c r="H1220" s="35" t="inlineStr">
        <is>
          <t>Hard</t>
        </is>
      </c>
      <c r="I1220" s="33" t="inlineStr">
        <is>
          <t>Cornell Lab of Ornithology</t>
        </is>
      </c>
      <c r="J1220" s="35" t="n"/>
      <c r="K1220" s="33" t="inlineStr">
        <is>
          <t>Added Oct 2026. Spot check before this day goes live.</t>
        </is>
      </c>
      <c r="L1220" s="35">
        <f>COUNTIFS($A$2:$A$1501,A1220,$D$2:$D$1501,D1220)</f>
        <v/>
      </c>
    </row>
    <row r="1221">
      <c r="A1221" s="35" t="n">
        <v>244</v>
      </c>
      <c r="B1221" s="41" t="n">
        <v>46543</v>
      </c>
      <c r="C1221" s="35" t="n">
        <v>5</v>
      </c>
      <c r="D1221" s="33" t="inlineStr">
        <is>
          <t>Distance of the Day</t>
        </is>
      </c>
      <c r="E1221" s="36" t="inlineStr">
        <is>
          <t>How far is it in a straight line from Calgary to Victoria?</t>
        </is>
      </c>
      <c r="F1221" s="42" t="n">
        <v>730</v>
      </c>
      <c r="G1221" s="33" t="inlineStr">
        <is>
          <t>km</t>
        </is>
      </c>
      <c r="H1221" s="35" t="inlineStr">
        <is>
          <t>Easy</t>
        </is>
      </c>
      <c r="I1221" s="33" t="inlineStr">
        <is>
          <t>Computed great-circle distance (city centre to city centre)</t>
        </is>
      </c>
      <c r="J1221" s="35" t="n"/>
      <c r="K1221" s="33" t="n"/>
      <c r="L1221" s="35">
        <f>COUNTIFS($A$2:$A$1501,A1221,$D$2:$D$1501,D1221)</f>
        <v/>
      </c>
    </row>
    <row r="1222">
      <c r="A1222" s="35" t="n">
        <v>245</v>
      </c>
      <c r="B1222" s="41" t="n">
        <v>46544</v>
      </c>
      <c r="C1222" s="35" t="n">
        <v>1</v>
      </c>
      <c r="D1222" s="33" t="inlineStr">
        <is>
          <t>Human Body</t>
        </is>
      </c>
      <c r="E1222" s="36" t="inlineStr">
        <is>
          <t>How many bones are in the human skull?</t>
        </is>
      </c>
      <c r="F1222" s="42" t="n">
        <v>22</v>
      </c>
      <c r="G1222" s="33" t="inlineStr">
        <is>
          <t>bones</t>
        </is>
      </c>
      <c r="H1222" s="35" t="inlineStr">
        <is>
          <t>Medium</t>
        </is>
      </c>
      <c r="I1222" s="33" t="inlineStr">
        <is>
          <t>Britannica</t>
        </is>
      </c>
      <c r="J1222" s="35" t="n"/>
      <c r="K1222" s="33" t="inlineStr">
        <is>
          <t>Added Oct 2026. Spot check before this day goes live.</t>
        </is>
      </c>
      <c r="L1222" s="35">
        <f>COUNTIFS($A$2:$A$1501,A1222,$D$2:$D$1501,D1222)</f>
        <v/>
      </c>
    </row>
    <row r="1223">
      <c r="A1223" s="35" t="n">
        <v>245</v>
      </c>
      <c r="B1223" s="41" t="n">
        <v>46544</v>
      </c>
      <c r="C1223" s="35" t="n">
        <v>2</v>
      </c>
      <c r="D1223" s="33" t="inlineStr">
        <is>
          <t>Geography</t>
        </is>
      </c>
      <c r="E1223" s="36" t="inlineStr">
        <is>
          <t>How many countries does the equator pass through?</t>
        </is>
      </c>
      <c r="F1223" s="42" t="n">
        <v>13</v>
      </c>
      <c r="G1223" s="33" t="inlineStr">
        <is>
          <t>countries</t>
        </is>
      </c>
      <c r="H1223" s="35" t="inlineStr">
        <is>
          <t>Medium</t>
        </is>
      </c>
      <c r="I1223" s="33" t="inlineStr">
        <is>
          <t>National Geographic</t>
        </is>
      </c>
      <c r="J1223" s="35" t="n"/>
      <c r="K1223" s="33" t="inlineStr">
        <is>
          <t>Added Oct 2026. Spot check before this day goes live.</t>
        </is>
      </c>
      <c r="L1223" s="35">
        <f>COUNTIFS($A$2:$A$1501,A1223,$D$2:$D$1501,D1223)</f>
        <v/>
      </c>
    </row>
    <row r="1224">
      <c r="A1224" s="35" t="n">
        <v>245</v>
      </c>
      <c r="B1224" s="41" t="n">
        <v>46544</v>
      </c>
      <c r="C1224" s="35" t="n">
        <v>3</v>
      </c>
      <c r="D1224" s="33" t="inlineStr">
        <is>
          <t>Space and Science</t>
        </is>
      </c>
      <c r="E1224" s="36" t="inlineStr">
        <is>
          <t>How far is Mars from the Sun, on average?</t>
        </is>
      </c>
      <c r="F1224" s="42" t="n">
        <v>228</v>
      </c>
      <c r="G1224" s="33" t="inlineStr">
        <is>
          <t>million km</t>
        </is>
      </c>
      <c r="H1224" s="35" t="inlineStr">
        <is>
          <t>Hard</t>
        </is>
      </c>
      <c r="I1224" s="33" t="inlineStr">
        <is>
          <t>NASA</t>
        </is>
      </c>
      <c r="J1224" s="35" t="n"/>
      <c r="K1224" s="33" t="inlineStr">
        <is>
          <t>Added Oct 2026. Spot check before this day goes live.</t>
        </is>
      </c>
      <c r="L1224" s="35">
        <f>COUNTIFS($A$2:$A$1501,A1224,$D$2:$D$1501,D1224)</f>
        <v/>
      </c>
    </row>
    <row r="1225">
      <c r="A1225" s="35" t="n">
        <v>245</v>
      </c>
      <c r="B1225" s="41" t="n">
        <v>46544</v>
      </c>
      <c r="C1225" s="35" t="n">
        <v>4</v>
      </c>
      <c r="D1225" s="33" t="inlineStr">
        <is>
          <t>Buildings and Engineering</t>
        </is>
      </c>
      <c r="E1225" s="36" t="inlineStr">
        <is>
          <t>How many glass panes make up the Louvre Pyramid?</t>
        </is>
      </c>
      <c r="F1225" s="42" t="n">
        <v>673</v>
      </c>
      <c r="G1225" s="33" t="inlineStr">
        <is>
          <t>panes</t>
        </is>
      </c>
      <c r="H1225" s="35" t="inlineStr">
        <is>
          <t>Hard</t>
        </is>
      </c>
      <c r="I1225" s="33" t="inlineStr">
        <is>
          <t>Musée du Louvre</t>
        </is>
      </c>
      <c r="J1225" s="35" t="n"/>
      <c r="K1225" s="33" t="inlineStr">
        <is>
          <t>Added Oct 2026. Spot check before this day goes live.</t>
        </is>
      </c>
      <c r="L1225" s="35">
        <f>COUNTIFS($A$2:$A$1501,A1225,$D$2:$D$1501,D1225)</f>
        <v/>
      </c>
    </row>
    <row r="1226">
      <c r="A1226" s="35" t="n">
        <v>245</v>
      </c>
      <c r="B1226" s="41" t="n">
        <v>46544</v>
      </c>
      <c r="C1226" s="35" t="n">
        <v>5</v>
      </c>
      <c r="D1226" s="33" t="inlineStr">
        <is>
          <t>Distance of the Day</t>
        </is>
      </c>
      <c r="E1226" s="36" t="inlineStr">
        <is>
          <t>How far is it in a straight line from Toronto to Moscow?</t>
        </is>
      </c>
      <c r="F1226" s="42" t="n">
        <v>7480</v>
      </c>
      <c r="G1226" s="33" t="inlineStr">
        <is>
          <t>km</t>
        </is>
      </c>
      <c r="H1226" s="35" t="inlineStr">
        <is>
          <t>Medium</t>
        </is>
      </c>
      <c r="I1226" s="33" t="inlineStr">
        <is>
          <t>Computed great-circle distance (city centre to city centre)</t>
        </is>
      </c>
      <c r="J1226" s="35" t="n"/>
      <c r="K1226" s="33" t="n"/>
      <c r="L1226" s="35">
        <f>COUNTIFS($A$2:$A$1501,A1226,$D$2:$D$1501,D1226)</f>
        <v/>
      </c>
    </row>
    <row r="1227">
      <c r="A1227" s="35" t="n">
        <v>246</v>
      </c>
      <c r="B1227" s="41" t="n">
        <v>46545</v>
      </c>
      <c r="C1227" s="35" t="n">
        <v>1</v>
      </c>
      <c r="D1227" s="33" t="inlineStr">
        <is>
          <t>History</t>
        </is>
      </c>
      <c r="E1227" s="36" t="inlineStr">
        <is>
          <t>How many years did World War I last?</t>
        </is>
      </c>
      <c r="F1227" s="42" t="n">
        <v>4</v>
      </c>
      <c r="G1227" s="33" t="inlineStr">
        <is>
          <t>years</t>
        </is>
      </c>
      <c r="H1227" s="35" t="inlineStr">
        <is>
          <t>Easy</t>
        </is>
      </c>
      <c r="I1227" s="33" t="inlineStr">
        <is>
          <t>Imperial War Museums</t>
        </is>
      </c>
      <c r="J1227" s="35" t="n"/>
      <c r="K1227" s="33" t="inlineStr">
        <is>
          <t>Added Oct 2026. Spot check before this day goes live.</t>
        </is>
      </c>
      <c r="L1227" s="35">
        <f>COUNTIFS($A$2:$A$1501,A1227,$D$2:$D$1501,D1227)</f>
        <v/>
      </c>
    </row>
    <row r="1228">
      <c r="A1228" s="35" t="n">
        <v>246</v>
      </c>
      <c r="B1228" s="41" t="n">
        <v>46545</v>
      </c>
      <c r="C1228" s="35" t="n">
        <v>2</v>
      </c>
      <c r="D1228" s="33" t="inlineStr">
        <is>
          <t>Movies, Music and Games</t>
        </is>
      </c>
      <c r="E1228" s="36" t="inlineStr">
        <is>
          <t>How many weeks did Old Town Road spend at number one on the Billboard Hot 100?</t>
        </is>
      </c>
      <c r="F1228" s="42" t="n">
        <v>19</v>
      </c>
      <c r="G1228" s="33" t="inlineStr">
        <is>
          <t>weeks</t>
        </is>
      </c>
      <c r="H1228" s="35" t="inlineStr">
        <is>
          <t>Medium</t>
        </is>
      </c>
      <c r="I1228" s="33" t="inlineStr">
        <is>
          <t>Billboard</t>
        </is>
      </c>
      <c r="J1228" s="35" t="n"/>
      <c r="K1228" s="33" t="inlineStr">
        <is>
          <t>Added Oct 2026. Spot check before this day goes live.</t>
        </is>
      </c>
      <c r="L1228" s="35">
        <f>COUNTIFS($A$2:$A$1501,A1228,$D$2:$D$1501,D1228)</f>
        <v/>
      </c>
    </row>
    <row r="1229">
      <c r="A1229" s="35" t="n">
        <v>246</v>
      </c>
      <c r="B1229" s="41" t="n">
        <v>46545</v>
      </c>
      <c r="C1229" s="35" t="n">
        <v>3</v>
      </c>
      <c r="D1229" s="33" t="inlineStr">
        <is>
          <t>Canada</t>
        </is>
      </c>
      <c r="E1229" s="36" t="inlineStr">
        <is>
          <t>How many seats are in the Senate of Canada?</t>
        </is>
      </c>
      <c r="F1229" s="42" t="n">
        <v>105</v>
      </c>
      <c r="G1229" s="33" t="inlineStr">
        <is>
          <t>seats</t>
        </is>
      </c>
      <c r="H1229" s="35" t="inlineStr">
        <is>
          <t>Medium</t>
        </is>
      </c>
      <c r="I1229" s="33" t="inlineStr">
        <is>
          <t>Senate of Canada</t>
        </is>
      </c>
      <c r="J1229" s="35" t="n"/>
      <c r="K1229" s="33" t="inlineStr">
        <is>
          <t>Added Oct 2026. Spot check before this day goes live.</t>
        </is>
      </c>
      <c r="L1229" s="35">
        <f>COUNTIFS($A$2:$A$1501,A1229,$D$2:$D$1501,D1229)</f>
        <v/>
      </c>
    </row>
    <row r="1230">
      <c r="A1230" s="35" t="n">
        <v>246</v>
      </c>
      <c r="B1230" s="41" t="n">
        <v>46545</v>
      </c>
      <c r="C1230" s="35" t="n">
        <v>4</v>
      </c>
      <c r="D1230" s="33" t="inlineStr">
        <is>
          <t>Sports</t>
        </is>
      </c>
      <c r="E1230" s="36" t="inlineStr">
        <is>
          <t>How many regular-season wins did Martin Brodeur record as an NHL goalie?</t>
        </is>
      </c>
      <c r="F1230" s="42" t="n">
        <v>691</v>
      </c>
      <c r="G1230" s="33" t="inlineStr">
        <is>
          <t>wins</t>
        </is>
      </c>
      <c r="H1230" s="35" t="inlineStr">
        <is>
          <t>Hard</t>
        </is>
      </c>
      <c r="I1230" s="33" t="inlineStr">
        <is>
          <t>NHL.com</t>
        </is>
      </c>
      <c r="J1230" s="35" t="n"/>
      <c r="K1230" s="33" t="inlineStr">
        <is>
          <t>Added Oct 2026. Spot check before this day goes live.</t>
        </is>
      </c>
      <c r="L1230" s="35">
        <f>COUNTIFS($A$2:$A$1501,A1230,$D$2:$D$1501,D1230)</f>
        <v/>
      </c>
    </row>
    <row r="1231">
      <c r="A1231" s="35" t="n">
        <v>246</v>
      </c>
      <c r="B1231" s="41" t="n">
        <v>46545</v>
      </c>
      <c r="C1231" s="35" t="n">
        <v>5</v>
      </c>
      <c r="D1231" s="33" t="inlineStr">
        <is>
          <t>Distance of the Day</t>
        </is>
      </c>
      <c r="E1231" s="36" t="inlineStr">
        <is>
          <t>How far is it in a straight line from Sudbury to Tehran?</t>
        </is>
      </c>
      <c r="F1231" s="42" t="n">
        <v>9710</v>
      </c>
      <c r="G1231" s="33" t="inlineStr">
        <is>
          <t>km</t>
        </is>
      </c>
      <c r="H1231" s="35" t="inlineStr">
        <is>
          <t>Hard</t>
        </is>
      </c>
      <c r="I1231" s="33" t="inlineStr">
        <is>
          <t>Computed great-circle distance (city centre to city centre)</t>
        </is>
      </c>
      <c r="J1231" s="35" t="n"/>
      <c r="K1231" s="33" t="n"/>
      <c r="L1231" s="35">
        <f>COUNTIFS($A$2:$A$1501,A1231,$D$2:$D$1501,D1231)</f>
        <v/>
      </c>
    </row>
    <row r="1232">
      <c r="A1232" s="35" t="n">
        <v>247</v>
      </c>
      <c r="B1232" s="41" t="n">
        <v>46546</v>
      </c>
      <c r="C1232" s="35" t="n">
        <v>1</v>
      </c>
      <c r="D1232" s="33" t="inlineStr">
        <is>
          <t>Food and Everyday Life</t>
        </is>
      </c>
      <c r="E1232" s="36" t="inlineStr">
        <is>
          <t>How many cents is a quarter worth?</t>
        </is>
      </c>
      <c r="F1232" s="42" t="n">
        <v>25</v>
      </c>
      <c r="G1232" s="33" t="inlineStr">
        <is>
          <t>cents</t>
        </is>
      </c>
      <c r="H1232" s="35" t="inlineStr">
        <is>
          <t>Easy</t>
        </is>
      </c>
      <c r="I1232" s="33" t="inlineStr">
        <is>
          <t>Royal Canadian Mint</t>
        </is>
      </c>
      <c r="J1232" s="35" t="n"/>
      <c r="K1232" s="33" t="inlineStr">
        <is>
          <t>Added Oct 2026. Spot check before this day goes live.</t>
        </is>
      </c>
      <c r="L1232" s="35">
        <f>COUNTIFS($A$2:$A$1501,A1232,$D$2:$D$1501,D1232)</f>
        <v/>
      </c>
    </row>
    <row r="1233">
      <c r="A1233" s="35" t="n">
        <v>247</v>
      </c>
      <c r="B1233" s="41" t="n">
        <v>46546</v>
      </c>
      <c r="C1233" s="35" t="n">
        <v>2</v>
      </c>
      <c r="D1233" s="33" t="inlineStr">
        <is>
          <t>Geography</t>
        </is>
      </c>
      <c r="E1233" s="36" t="inlineStr">
        <is>
          <t>How long is the Yangtze River?</t>
        </is>
      </c>
      <c r="F1233" s="42" t="n">
        <v>6300</v>
      </c>
      <c r="G1233" s="33" t="inlineStr">
        <is>
          <t>km</t>
        </is>
      </c>
      <c r="H1233" s="35" t="inlineStr">
        <is>
          <t>Medium</t>
        </is>
      </c>
      <c r="I1233" s="33" t="inlineStr">
        <is>
          <t>Britannica</t>
        </is>
      </c>
      <c r="J1233" s="35" t="n"/>
      <c r="K1233" s="33" t="inlineStr">
        <is>
          <t>Added Oct 2026. Spot check before this day goes live.</t>
        </is>
      </c>
      <c r="L1233" s="35">
        <f>COUNTIFS($A$2:$A$1501,A1233,$D$2:$D$1501,D1233)</f>
        <v/>
      </c>
    </row>
    <row r="1234">
      <c r="A1234" s="35" t="n">
        <v>247</v>
      </c>
      <c r="B1234" s="41" t="n">
        <v>46546</v>
      </c>
      <c r="C1234" s="35" t="n">
        <v>3</v>
      </c>
      <c r="D1234" s="33" t="inlineStr">
        <is>
          <t>Buildings and Engineering</t>
        </is>
      </c>
      <c r="E1234" s="36" t="inlineStr">
        <is>
          <t>How long is the Seikan Tunnel in Japan?</t>
        </is>
      </c>
      <c r="F1234" s="42" t="n">
        <v>53.9</v>
      </c>
      <c r="G1234" s="33" t="inlineStr">
        <is>
          <t>km</t>
        </is>
      </c>
      <c r="H1234" s="35" t="inlineStr">
        <is>
          <t>Hard</t>
        </is>
      </c>
      <c r="I1234" s="33" t="inlineStr">
        <is>
          <t>JR Hokkaido</t>
        </is>
      </c>
      <c r="J1234" s="35" t="n"/>
      <c r="K1234" s="33" t="inlineStr">
        <is>
          <t>Added Oct 2026. Spot check before this day goes live.</t>
        </is>
      </c>
      <c r="L1234" s="35">
        <f>COUNTIFS($A$2:$A$1501,A1234,$D$2:$D$1501,D1234)</f>
        <v/>
      </c>
    </row>
    <row r="1235">
      <c r="A1235" s="35" t="n">
        <v>247</v>
      </c>
      <c r="B1235" s="41" t="n">
        <v>46546</v>
      </c>
      <c r="C1235" s="35" t="n">
        <v>4</v>
      </c>
      <c r="D1235" s="33" t="inlineStr">
        <is>
          <t>Space and Science</t>
        </is>
      </c>
      <c r="E1235" s="36" t="inlineStr">
        <is>
          <t>How thick is Earth's crust under the oceans, on average?</t>
        </is>
      </c>
      <c r="F1235" s="42" t="n">
        <v>7</v>
      </c>
      <c r="G1235" s="33" t="inlineStr">
        <is>
          <t>km</t>
        </is>
      </c>
      <c r="H1235" s="35" t="inlineStr">
        <is>
          <t>Hard</t>
        </is>
      </c>
      <c r="I1235" s="33" t="inlineStr">
        <is>
          <t>USGS</t>
        </is>
      </c>
      <c r="J1235" s="35" t="n"/>
      <c r="K1235" s="33" t="inlineStr">
        <is>
          <t>Added Oct 2026. Spot check before this day goes live.</t>
        </is>
      </c>
      <c r="L1235" s="35">
        <f>COUNTIFS($A$2:$A$1501,A1235,$D$2:$D$1501,D1235)</f>
        <v/>
      </c>
    </row>
    <row r="1236">
      <c r="A1236" s="35" t="n">
        <v>247</v>
      </c>
      <c r="B1236" s="41" t="n">
        <v>46546</v>
      </c>
      <c r="C1236" s="35" t="n">
        <v>5</v>
      </c>
      <c r="D1236" s="33" t="inlineStr">
        <is>
          <t>Distance of the Day</t>
        </is>
      </c>
      <c r="E1236" s="36" t="inlineStr">
        <is>
          <t>How far is it in a straight line from Ottawa to Washington, D.C.?</t>
        </is>
      </c>
      <c r="F1236" s="42" t="n">
        <v>730</v>
      </c>
      <c r="G1236" s="33" t="inlineStr">
        <is>
          <t>km</t>
        </is>
      </c>
      <c r="H1236" s="35" t="inlineStr">
        <is>
          <t>Easy</t>
        </is>
      </c>
      <c r="I1236" s="33" t="inlineStr">
        <is>
          <t>Computed great-circle distance (city centre to city centre)</t>
        </is>
      </c>
      <c r="J1236" s="35" t="n"/>
      <c r="K1236" s="33" t="n"/>
      <c r="L1236" s="35">
        <f>COUNTIFS($A$2:$A$1501,A1236,$D$2:$D$1501,D1236)</f>
        <v/>
      </c>
    </row>
    <row r="1237">
      <c r="A1237" s="35" t="n">
        <v>248</v>
      </c>
      <c r="B1237" s="41" t="n">
        <v>46547</v>
      </c>
      <c r="C1237" s="35" t="n">
        <v>1</v>
      </c>
      <c r="D1237" s="33" t="inlineStr">
        <is>
          <t>Animals and Nature</t>
        </is>
      </c>
      <c r="E1237" s="36" t="inlineStr">
        <is>
          <t>How many eyes do most spiders have?</t>
        </is>
      </c>
      <c r="F1237" s="42" t="n">
        <v>8</v>
      </c>
      <c r="G1237" s="33" t="inlineStr">
        <is>
          <t>eyes</t>
        </is>
      </c>
      <c r="H1237" s="35" t="inlineStr">
        <is>
          <t>Easy</t>
        </is>
      </c>
      <c r="I1237" s="33" t="inlineStr">
        <is>
          <t>Australian Museum</t>
        </is>
      </c>
      <c r="J1237" s="35" t="n"/>
      <c r="K1237" s="33" t="inlineStr">
        <is>
          <t>Added Oct 2026. Spot check before this day goes live.</t>
        </is>
      </c>
      <c r="L1237" s="35">
        <f>COUNTIFS($A$2:$A$1501,A1237,$D$2:$D$1501,D1237)</f>
        <v/>
      </c>
    </row>
    <row r="1238">
      <c r="A1238" s="35" t="n">
        <v>248</v>
      </c>
      <c r="B1238" s="41" t="n">
        <v>46547</v>
      </c>
      <c r="C1238" s="35" t="n">
        <v>2</v>
      </c>
      <c r="D1238" s="33" t="inlineStr">
        <is>
          <t>Sports</t>
        </is>
      </c>
      <c r="E1238" s="36" t="inlineStr">
        <is>
          <t>How many Stanley Cups did Henri Richard win, the most of any player?</t>
        </is>
      </c>
      <c r="F1238" s="42" t="n">
        <v>11</v>
      </c>
      <c r="G1238" s="33" t="inlineStr">
        <is>
          <t>Stanley Cups</t>
        </is>
      </c>
      <c r="H1238" s="35" t="inlineStr">
        <is>
          <t>Medium</t>
        </is>
      </c>
      <c r="I1238" s="33" t="inlineStr">
        <is>
          <t>Hockey Hall of Fame</t>
        </is>
      </c>
      <c r="J1238" s="35" t="n"/>
      <c r="K1238" s="33" t="inlineStr">
        <is>
          <t>Added Oct 2026. Spot check before this day goes live.</t>
        </is>
      </c>
      <c r="L1238" s="35">
        <f>COUNTIFS($A$2:$A$1501,A1238,$D$2:$D$1501,D1238)</f>
        <v/>
      </c>
    </row>
    <row r="1239">
      <c r="A1239" s="35" t="n">
        <v>248</v>
      </c>
      <c r="B1239" s="41" t="n">
        <v>46547</v>
      </c>
      <c r="C1239" s="35" t="n">
        <v>3</v>
      </c>
      <c r="D1239" s="33" t="inlineStr">
        <is>
          <t>Movies, Music and Games</t>
        </is>
      </c>
      <c r="E1239" s="36" t="inlineStr">
        <is>
          <t>How many squares are on a Scrabble board?</t>
        </is>
      </c>
      <c r="F1239" s="42" t="n">
        <v>225</v>
      </c>
      <c r="G1239" s="33" t="inlineStr">
        <is>
          <t>squares</t>
        </is>
      </c>
      <c r="H1239" s="35" t="inlineStr">
        <is>
          <t>Medium</t>
        </is>
      </c>
      <c r="I1239" s="33" t="inlineStr">
        <is>
          <t>Hasbro</t>
        </is>
      </c>
      <c r="J1239" s="35" t="n"/>
      <c r="K1239" s="33" t="inlineStr">
        <is>
          <t>Added Oct 2026. Spot check before this day goes live.</t>
        </is>
      </c>
      <c r="L1239" s="35">
        <f>COUNTIFS($A$2:$A$1501,A1239,$D$2:$D$1501,D1239)</f>
        <v/>
      </c>
    </row>
    <row r="1240">
      <c r="A1240" s="35" t="n">
        <v>248</v>
      </c>
      <c r="B1240" s="41" t="n">
        <v>46547</v>
      </c>
      <c r="C1240" s="35" t="n">
        <v>4</v>
      </c>
      <c r="D1240" s="33" t="inlineStr">
        <is>
          <t>History</t>
        </is>
      </c>
      <c r="E1240" s="36" t="inlineStr">
        <is>
          <t>How many years did the Inca Empire last, roughly?</t>
        </is>
      </c>
      <c r="F1240" s="42" t="n">
        <v>95</v>
      </c>
      <c r="G1240" s="33" t="inlineStr">
        <is>
          <t>years</t>
        </is>
      </c>
      <c r="H1240" s="35" t="inlineStr">
        <is>
          <t>Hard</t>
        </is>
      </c>
      <c r="I1240" s="33" t="inlineStr">
        <is>
          <t>Britannica</t>
        </is>
      </c>
      <c r="J1240" s="35" t="n"/>
      <c r="K1240" s="33" t="inlineStr">
        <is>
          <t>Added Oct 2026. Spot check before this day goes live.</t>
        </is>
      </c>
      <c r="L1240" s="35">
        <f>COUNTIFS($A$2:$A$1501,A1240,$D$2:$D$1501,D1240)</f>
        <v/>
      </c>
    </row>
    <row r="1241">
      <c r="A1241" s="35" t="n">
        <v>248</v>
      </c>
      <c r="B1241" s="41" t="n">
        <v>46547</v>
      </c>
      <c r="C1241" s="35" t="n">
        <v>5</v>
      </c>
      <c r="D1241" s="33" t="inlineStr">
        <is>
          <t>Distance of the Day</t>
        </is>
      </c>
      <c r="E1241" s="36" t="inlineStr">
        <is>
          <t>How far is it in a straight line from London, Ontario to Dublin?</t>
        </is>
      </c>
      <c r="F1241" s="42" t="n">
        <v>5410</v>
      </c>
      <c r="G1241" s="33" t="inlineStr">
        <is>
          <t>km</t>
        </is>
      </c>
      <c r="H1241" s="35" t="inlineStr">
        <is>
          <t>Medium</t>
        </is>
      </c>
      <c r="I1241" s="33" t="inlineStr">
        <is>
          <t>Computed great-circle distance (city centre to city centre)</t>
        </is>
      </c>
      <c r="J1241" s="35" t="n"/>
      <c r="K1241" s="33" t="n"/>
      <c r="L1241" s="35">
        <f>COUNTIFS($A$2:$A$1501,A1241,$D$2:$D$1501,D1241)</f>
        <v/>
      </c>
    </row>
    <row r="1242">
      <c r="A1242" s="35" t="n">
        <v>249</v>
      </c>
      <c r="B1242" s="41" t="n">
        <v>46548</v>
      </c>
      <c r="C1242" s="35" t="n">
        <v>1</v>
      </c>
      <c r="D1242" s="33" t="inlineStr">
        <is>
          <t>Food and Everyday Life</t>
        </is>
      </c>
      <c r="E1242" s="36" t="inlineStr">
        <is>
          <t>How many tablespoons are in a cup?</t>
        </is>
      </c>
      <c r="F1242" s="42" t="n">
        <v>16</v>
      </c>
      <c r="G1242" s="33" t="inlineStr">
        <is>
          <t>tablespoons</t>
        </is>
      </c>
      <c r="H1242" s="35" t="inlineStr">
        <is>
          <t>Medium</t>
        </is>
      </c>
      <c r="I1242" s="33" t="inlineStr">
        <is>
          <t>USDA</t>
        </is>
      </c>
      <c r="J1242" s="35" t="n"/>
      <c r="K1242" s="33" t="inlineStr">
        <is>
          <t>Added Oct 2026. Spot check before this day goes live.</t>
        </is>
      </c>
      <c r="L1242" s="35">
        <f>COUNTIFS($A$2:$A$1501,A1242,$D$2:$D$1501,D1242)</f>
        <v/>
      </c>
    </row>
    <row r="1243">
      <c r="A1243" s="35" t="n">
        <v>249</v>
      </c>
      <c r="B1243" s="41" t="n">
        <v>46548</v>
      </c>
      <c r="C1243" s="35" t="n">
        <v>2</v>
      </c>
      <c r="D1243" s="33" t="inlineStr">
        <is>
          <t>Human Body</t>
        </is>
      </c>
      <c r="E1243" s="36" t="inlineStr">
        <is>
          <t>How many bones are in the human leg, including the kneecap?</t>
        </is>
      </c>
      <c r="F1243" s="42" t="n">
        <v>4</v>
      </c>
      <c r="G1243" s="33" t="inlineStr">
        <is>
          <t>bones</t>
        </is>
      </c>
      <c r="H1243" s="35" t="inlineStr">
        <is>
          <t>Medium</t>
        </is>
      </c>
      <c r="I1243" s="33" t="inlineStr">
        <is>
          <t>Britannica</t>
        </is>
      </c>
      <c r="J1243" s="35" t="n"/>
      <c r="K1243" s="33" t="inlineStr">
        <is>
          <t>Added Oct 2026. Spot check before this day goes live.</t>
        </is>
      </c>
      <c r="L1243" s="35">
        <f>COUNTIFS($A$2:$A$1501,A1243,$D$2:$D$1501,D1243)</f>
        <v/>
      </c>
    </row>
    <row r="1244">
      <c r="A1244" s="35" t="n">
        <v>249</v>
      </c>
      <c r="B1244" s="41" t="n">
        <v>46548</v>
      </c>
      <c r="C1244" s="35" t="n">
        <v>3</v>
      </c>
      <c r="D1244" s="33" t="inlineStr">
        <is>
          <t>Canada</t>
        </is>
      </c>
      <c r="E1244" s="36" t="inlineStr">
        <is>
          <t>How big is Wood Buffalo, Canada's largest national park?</t>
        </is>
      </c>
      <c r="F1244" s="42" t="n">
        <v>44807</v>
      </c>
      <c r="G1244" s="33" t="inlineStr">
        <is>
          <t>km²</t>
        </is>
      </c>
      <c r="H1244" s="35" t="inlineStr">
        <is>
          <t>Hard</t>
        </is>
      </c>
      <c r="I1244" s="33" t="inlineStr">
        <is>
          <t>Parks Canada</t>
        </is>
      </c>
      <c r="J1244" s="35" t="n"/>
      <c r="K1244" s="33" t="inlineStr">
        <is>
          <t>Added Oct 2026. Spot check before this day goes live.</t>
        </is>
      </c>
      <c r="L1244" s="35">
        <f>COUNTIFS($A$2:$A$1501,A1244,$D$2:$D$1501,D1244)</f>
        <v/>
      </c>
    </row>
    <row r="1245">
      <c r="A1245" s="35" t="n">
        <v>249</v>
      </c>
      <c r="B1245" s="41" t="n">
        <v>46548</v>
      </c>
      <c r="C1245" s="35" t="n">
        <v>4</v>
      </c>
      <c r="D1245" s="33" t="inlineStr">
        <is>
          <t>Space and Science</t>
        </is>
      </c>
      <c r="E1245" s="36" t="inlineStr">
        <is>
          <t>How far does Earth travel around the Sun in one year?</t>
        </is>
      </c>
      <c r="F1245" s="42" t="n">
        <v>940</v>
      </c>
      <c r="G1245" s="33" t="inlineStr">
        <is>
          <t>million km</t>
        </is>
      </c>
      <c r="H1245" s="35" t="inlineStr">
        <is>
          <t>Hard</t>
        </is>
      </c>
      <c r="I1245" s="33" t="inlineStr">
        <is>
          <t>NASA</t>
        </is>
      </c>
      <c r="J1245" s="35" t="n"/>
      <c r="K1245" s="33" t="inlineStr">
        <is>
          <t>Added Oct 2026. Spot check before this day goes live.</t>
        </is>
      </c>
      <c r="L1245" s="35">
        <f>COUNTIFS($A$2:$A$1501,A1245,$D$2:$D$1501,D1245)</f>
        <v/>
      </c>
    </row>
    <row r="1246">
      <c r="A1246" s="35" t="n">
        <v>249</v>
      </c>
      <c r="B1246" s="41" t="n">
        <v>46548</v>
      </c>
      <c r="C1246" s="35" t="n">
        <v>5</v>
      </c>
      <c r="D1246" s="33" t="inlineStr">
        <is>
          <t>Distance of the Day</t>
        </is>
      </c>
      <c r="E1246" s="36" t="inlineStr">
        <is>
          <t>How far is it in a straight line from Hamilton to Cairo?</t>
        </is>
      </c>
      <c r="F1246" s="42" t="n">
        <v>9270</v>
      </c>
      <c r="G1246" s="33" t="inlineStr">
        <is>
          <t>km</t>
        </is>
      </c>
      <c r="H1246" s="35" t="inlineStr">
        <is>
          <t>Hard</t>
        </is>
      </c>
      <c r="I1246" s="33" t="inlineStr">
        <is>
          <t>Computed great-circle distance (city centre to city centre)</t>
        </is>
      </c>
      <c r="J1246" s="35" t="n"/>
      <c r="K1246" s="33" t="n"/>
      <c r="L1246" s="35">
        <f>COUNTIFS($A$2:$A$1501,A1246,$D$2:$D$1501,D1246)</f>
        <v/>
      </c>
    </row>
    <row r="1247">
      <c r="A1247" s="35" t="n">
        <v>250</v>
      </c>
      <c r="B1247" s="41" t="n">
        <v>46549</v>
      </c>
      <c r="C1247" s="35" t="n">
        <v>1</v>
      </c>
      <c r="D1247" s="33" t="inlineStr">
        <is>
          <t>Movies, Music and Games</t>
        </is>
      </c>
      <c r="E1247" s="36" t="inlineStr">
        <is>
          <t>How many symphonies did Beethoven write?</t>
        </is>
      </c>
      <c r="F1247" s="42" t="n">
        <v>9</v>
      </c>
      <c r="G1247" s="33" t="inlineStr">
        <is>
          <t>symphonies</t>
        </is>
      </c>
      <c r="H1247" s="35" t="inlineStr">
        <is>
          <t>Easy</t>
        </is>
      </c>
      <c r="I1247" s="33" t="inlineStr">
        <is>
          <t>Britannica</t>
        </is>
      </c>
      <c r="J1247" s="35" t="n"/>
      <c r="K1247" s="33" t="inlineStr">
        <is>
          <t>Added Oct 2026. Spot check before this day goes live.</t>
        </is>
      </c>
      <c r="L1247" s="35">
        <f>COUNTIFS($A$2:$A$1501,A1247,$D$2:$D$1501,D1247)</f>
        <v/>
      </c>
    </row>
    <row r="1248">
      <c r="A1248" s="35" t="n">
        <v>250</v>
      </c>
      <c r="B1248" s="41" t="n">
        <v>46549</v>
      </c>
      <c r="C1248" s="35" t="n">
        <v>2</v>
      </c>
      <c r="D1248" s="33" t="inlineStr">
        <is>
          <t>Animals and Nature</t>
        </is>
      </c>
      <c r="E1248" s="36" t="inlineStr">
        <is>
          <t>How far can an owl turn its head?</t>
        </is>
      </c>
      <c r="F1248" s="42" t="n">
        <v>270</v>
      </c>
      <c r="G1248" s="33" t="inlineStr">
        <is>
          <t>degrees</t>
        </is>
      </c>
      <c r="H1248" s="35" t="inlineStr">
        <is>
          <t>Medium</t>
        </is>
      </c>
      <c r="I1248" s="33" t="inlineStr">
        <is>
          <t>Johns Hopkins study</t>
        </is>
      </c>
      <c r="J1248" s="35" t="n"/>
      <c r="K1248" s="33" t="inlineStr">
        <is>
          <t>Added Oct 2026. Spot check before this day goes live.</t>
        </is>
      </c>
      <c r="L1248" s="35">
        <f>COUNTIFS($A$2:$A$1501,A1248,$D$2:$D$1501,D1248)</f>
        <v/>
      </c>
    </row>
    <row r="1249">
      <c r="A1249" s="35" t="n">
        <v>250</v>
      </c>
      <c r="B1249" s="41" t="n">
        <v>46549</v>
      </c>
      <c r="C1249" s="35" t="n">
        <v>3</v>
      </c>
      <c r="D1249" s="33" t="inlineStr">
        <is>
          <t>Geography</t>
        </is>
      </c>
      <c r="E1249" s="36" t="inlineStr">
        <is>
          <t>How big is China?</t>
        </is>
      </c>
      <c r="F1249" s="42" t="n">
        <v>9596961</v>
      </c>
      <c r="G1249" s="33" t="inlineStr">
        <is>
          <t>km²</t>
        </is>
      </c>
      <c r="H1249" s="35" t="inlineStr">
        <is>
          <t>Hard</t>
        </is>
      </c>
      <c r="I1249" s="33" t="inlineStr">
        <is>
          <t>CIA World Factbook</t>
        </is>
      </c>
      <c r="J1249" s="35" t="n"/>
      <c r="K1249" s="33" t="inlineStr">
        <is>
          <t>Added Oct 2026. Spot check before this day goes live.</t>
        </is>
      </c>
      <c r="L1249" s="35">
        <f>COUNTIFS($A$2:$A$1501,A1249,$D$2:$D$1501,D1249)</f>
        <v/>
      </c>
    </row>
    <row r="1250">
      <c r="A1250" s="35" t="n">
        <v>250</v>
      </c>
      <c r="B1250" s="41" t="n">
        <v>46549</v>
      </c>
      <c r="C1250" s="35" t="n">
        <v>4</v>
      </c>
      <c r="D1250" s="33" t="inlineStr">
        <is>
          <t>Sports</t>
        </is>
      </c>
      <c r="E1250" s="36" t="inlineStr">
        <is>
          <t>How long is a men's Olympic javelin?</t>
        </is>
      </c>
      <c r="F1250" s="42" t="n">
        <v>2.6</v>
      </c>
      <c r="G1250" s="33" t="inlineStr">
        <is>
          <t>metres</t>
        </is>
      </c>
      <c r="H1250" s="35" t="inlineStr">
        <is>
          <t>Hard</t>
        </is>
      </c>
      <c r="I1250" s="33" t="inlineStr">
        <is>
          <t>World Athletics</t>
        </is>
      </c>
      <c r="J1250" s="35" t="n"/>
      <c r="K1250" s="33" t="inlineStr">
        <is>
          <t>Added Oct 2026. Spot check before this day goes live.</t>
        </is>
      </c>
      <c r="L1250" s="35">
        <f>COUNTIFS($A$2:$A$1501,A1250,$D$2:$D$1501,D1250)</f>
        <v/>
      </c>
    </row>
    <row r="1251">
      <c r="A1251" s="35" t="n">
        <v>250</v>
      </c>
      <c r="B1251" s="41" t="n">
        <v>46549</v>
      </c>
      <c r="C1251" s="35" t="n">
        <v>5</v>
      </c>
      <c r="D1251" s="33" t="inlineStr">
        <is>
          <t>Distance of the Day</t>
        </is>
      </c>
      <c r="E1251" s="36" t="inlineStr">
        <is>
          <t>How far is it in a straight line from St. John's to Cairo?</t>
        </is>
      </c>
      <c r="F1251" s="42" t="n">
        <v>7170</v>
      </c>
      <c r="G1251" s="33" t="inlineStr">
        <is>
          <t>km</t>
        </is>
      </c>
      <c r="H1251" s="35" t="inlineStr">
        <is>
          <t>Medium</t>
        </is>
      </c>
      <c r="I1251" s="33" t="inlineStr">
        <is>
          <t>Computed great-circle distance (city centre to city centre)</t>
        </is>
      </c>
      <c r="J1251" s="35" t="n"/>
      <c r="K1251" s="33" t="n"/>
      <c r="L1251" s="35">
        <f>COUNTIFS($A$2:$A$1501,A1251,$D$2:$D$1501,D1251)</f>
        <v/>
      </c>
    </row>
    <row r="1252">
      <c r="A1252" s="35" t="n">
        <v>251</v>
      </c>
      <c r="B1252" s="41" t="n">
        <v>46550</v>
      </c>
      <c r="C1252" s="35" t="n">
        <v>1</v>
      </c>
      <c r="D1252" s="33" t="inlineStr">
        <is>
          <t>History</t>
        </is>
      </c>
      <c r="E1252" s="36" t="inlineStr">
        <is>
          <t>How many years was Nelson Mandela in prison?</t>
        </is>
      </c>
      <c r="F1252" s="42" t="n">
        <v>27</v>
      </c>
      <c r="G1252" s="33" t="inlineStr">
        <is>
          <t>years</t>
        </is>
      </c>
      <c r="H1252" s="35" t="inlineStr">
        <is>
          <t>Easy</t>
        </is>
      </c>
      <c r="I1252" s="33" t="inlineStr">
        <is>
          <t>Nelson Mandela Foundation</t>
        </is>
      </c>
      <c r="J1252" s="35" t="n"/>
      <c r="K1252" s="33" t="inlineStr">
        <is>
          <t>Added Oct 2026. Spot check before this day goes live.</t>
        </is>
      </c>
      <c r="L1252" s="35">
        <f>COUNTIFS($A$2:$A$1501,A1252,$D$2:$D$1501,D1252)</f>
        <v/>
      </c>
    </row>
    <row r="1253">
      <c r="A1253" s="35" t="n">
        <v>251</v>
      </c>
      <c r="B1253" s="41" t="n">
        <v>46550</v>
      </c>
      <c r="C1253" s="35" t="n">
        <v>2</v>
      </c>
      <c r="D1253" s="33" t="inlineStr">
        <is>
          <t>Canada</t>
        </is>
      </c>
      <c r="E1253" s="36" t="inlineStr">
        <is>
          <t>How many sides does a loonie have?</t>
        </is>
      </c>
      <c r="F1253" s="42" t="n">
        <v>11</v>
      </c>
      <c r="G1253" s="33" t="inlineStr">
        <is>
          <t>sides</t>
        </is>
      </c>
      <c r="H1253" s="35" t="inlineStr">
        <is>
          <t>Medium</t>
        </is>
      </c>
      <c r="I1253" s="33" t="inlineStr">
        <is>
          <t>Royal Canadian Mint</t>
        </is>
      </c>
      <c r="J1253" s="35" t="n"/>
      <c r="K1253" s="33" t="inlineStr">
        <is>
          <t>Added Oct 2026. Spot check before this day goes live.</t>
        </is>
      </c>
      <c r="L1253" s="35">
        <f>COUNTIFS($A$2:$A$1501,A1253,$D$2:$D$1501,D1253)</f>
        <v/>
      </c>
    </row>
    <row r="1254">
      <c r="A1254" s="35" t="n">
        <v>251</v>
      </c>
      <c r="B1254" s="41" t="n">
        <v>46550</v>
      </c>
      <c r="C1254" s="35" t="n">
        <v>3</v>
      </c>
      <c r="D1254" s="33" t="inlineStr">
        <is>
          <t>Human Body</t>
        </is>
      </c>
      <c r="E1254" s="36" t="inlineStr">
        <is>
          <t>How heavy is an adult's skin?</t>
        </is>
      </c>
      <c r="F1254" s="42" t="n">
        <v>4</v>
      </c>
      <c r="G1254" s="33" t="inlineStr">
        <is>
          <t>kg</t>
        </is>
      </c>
      <c r="H1254" s="35" t="inlineStr">
        <is>
          <t>Medium</t>
        </is>
      </c>
      <c r="I1254" s="33" t="inlineStr">
        <is>
          <t>Cleveland Clinic</t>
        </is>
      </c>
      <c r="J1254" s="35" t="n"/>
      <c r="K1254" s="33" t="inlineStr">
        <is>
          <t>Added Oct 2026. Spot check before this day goes live.</t>
        </is>
      </c>
      <c r="L1254" s="35">
        <f>COUNTIFS($A$2:$A$1501,A1254,$D$2:$D$1501,D1254)</f>
        <v/>
      </c>
    </row>
    <row r="1255">
      <c r="A1255" s="35" t="n">
        <v>251</v>
      </c>
      <c r="B1255" s="41" t="n">
        <v>46550</v>
      </c>
      <c r="C1255" s="35" t="n">
        <v>4</v>
      </c>
      <c r="D1255" s="33" t="inlineStr">
        <is>
          <t>Buildings and Engineering</t>
        </is>
      </c>
      <c r="E1255" s="36" t="inlineStr">
        <is>
          <t>How long is the Hoover Dam along its top?</t>
        </is>
      </c>
      <c r="F1255" s="42" t="n">
        <v>379</v>
      </c>
      <c r="G1255" s="33" t="inlineStr">
        <is>
          <t>metres</t>
        </is>
      </c>
      <c r="H1255" s="35" t="inlineStr">
        <is>
          <t>Hard</t>
        </is>
      </c>
      <c r="I1255" s="33" t="inlineStr">
        <is>
          <t>US Bureau of Reclamation</t>
        </is>
      </c>
      <c r="J1255" s="35" t="n"/>
      <c r="K1255" s="33" t="inlineStr">
        <is>
          <t>Added Oct 2026. Spot check before this day goes live.</t>
        </is>
      </c>
      <c r="L1255" s="35">
        <f>COUNTIFS($A$2:$A$1501,A1255,$D$2:$D$1501,D1255)</f>
        <v/>
      </c>
    </row>
    <row r="1256">
      <c r="A1256" s="35" t="n">
        <v>251</v>
      </c>
      <c r="B1256" s="41" t="n">
        <v>46550</v>
      </c>
      <c r="C1256" s="35" t="n">
        <v>5</v>
      </c>
      <c r="D1256" s="33" t="inlineStr">
        <is>
          <t>Distance of the Day</t>
        </is>
      </c>
      <c r="E1256" s="36" t="inlineStr">
        <is>
          <t>How far is it in a straight line from Rome to Berlin?</t>
        </is>
      </c>
      <c r="F1256" s="42" t="n">
        <v>1180</v>
      </c>
      <c r="G1256" s="33" t="inlineStr">
        <is>
          <t>km</t>
        </is>
      </c>
      <c r="H1256" s="35" t="inlineStr">
        <is>
          <t>Easy</t>
        </is>
      </c>
      <c r="I1256" s="33" t="inlineStr">
        <is>
          <t>Computed great-circle distance (city centre to city centre)</t>
        </is>
      </c>
      <c r="J1256" s="35" t="n"/>
      <c r="K1256" s="33" t="n"/>
      <c r="L1256" s="35">
        <f>COUNTIFS($A$2:$A$1501,A1256,$D$2:$D$1501,D1256)</f>
        <v/>
      </c>
    </row>
    <row r="1257">
      <c r="A1257" s="35" t="n">
        <v>252</v>
      </c>
      <c r="B1257" s="41" t="n">
        <v>46551</v>
      </c>
      <c r="C1257" s="35" t="n">
        <v>1</v>
      </c>
      <c r="D1257" s="33" t="inlineStr">
        <is>
          <t>Food and Everyday Life</t>
        </is>
      </c>
      <c r="E1257" s="36" t="inlineStr">
        <is>
          <t>How many feet are in a mile?</t>
        </is>
      </c>
      <c r="F1257" s="42" t="n">
        <v>5280</v>
      </c>
      <c r="G1257" s="33" t="inlineStr">
        <is>
          <t>feet</t>
        </is>
      </c>
      <c r="H1257" s="35" t="inlineStr">
        <is>
          <t>Medium</t>
        </is>
      </c>
      <c r="I1257" s="33" t="inlineStr">
        <is>
          <t>NIST</t>
        </is>
      </c>
      <c r="J1257" s="35" t="n"/>
      <c r="K1257" s="33" t="inlineStr">
        <is>
          <t>Added Oct 2026. Spot check before this day goes live.</t>
        </is>
      </c>
      <c r="L1257" s="35">
        <f>COUNTIFS($A$2:$A$1501,A1257,$D$2:$D$1501,D1257)</f>
        <v/>
      </c>
    </row>
    <row r="1258">
      <c r="A1258" s="35" t="n">
        <v>252</v>
      </c>
      <c r="B1258" s="41" t="n">
        <v>46551</v>
      </c>
      <c r="C1258" s="35" t="n">
        <v>2</v>
      </c>
      <c r="D1258" s="33" t="inlineStr">
        <is>
          <t>Movies, Music and Games</t>
        </is>
      </c>
      <c r="E1258" s="36" t="inlineStr">
        <is>
          <t>How many studio albums did The Beatles release in the UK?</t>
        </is>
      </c>
      <c r="F1258" s="42" t="n">
        <v>13</v>
      </c>
      <c r="G1258" s="33" t="inlineStr">
        <is>
          <t>albums</t>
        </is>
      </c>
      <c r="H1258" s="35" t="inlineStr">
        <is>
          <t>Medium</t>
        </is>
      </c>
      <c r="I1258" s="33" t="inlineStr">
        <is>
          <t>The Beatles official site</t>
        </is>
      </c>
      <c r="J1258" s="35" t="n"/>
      <c r="K1258" s="33" t="inlineStr">
        <is>
          <t>Added Oct 2026. Spot check before this day goes live.</t>
        </is>
      </c>
      <c r="L1258" s="35">
        <f>COUNTIFS($A$2:$A$1501,A1258,$D$2:$D$1501,D1258)</f>
        <v/>
      </c>
    </row>
    <row r="1259">
      <c r="A1259" s="35" t="n">
        <v>252</v>
      </c>
      <c r="B1259" s="41" t="n">
        <v>46551</v>
      </c>
      <c r="C1259" s="35" t="n">
        <v>3</v>
      </c>
      <c r="D1259" s="33" t="inlineStr">
        <is>
          <t>Space and Science</t>
        </is>
      </c>
      <c r="E1259" s="36" t="inlineStr">
        <is>
          <t>How fast does sound travel through steel?</t>
        </is>
      </c>
      <c r="F1259" s="42" t="n">
        <v>5900</v>
      </c>
      <c r="G1259" s="33" t="inlineStr">
        <is>
          <t>metres per second</t>
        </is>
      </c>
      <c r="H1259" s="35" t="inlineStr">
        <is>
          <t>Hard</t>
        </is>
      </c>
      <c r="I1259" s="33" t="inlineStr">
        <is>
          <t>Engineering Toolbox / NIST</t>
        </is>
      </c>
      <c r="J1259" s="35" t="n"/>
      <c r="K1259" s="33" t="inlineStr">
        <is>
          <t>Added Oct 2026. Spot check before this day goes live.</t>
        </is>
      </c>
      <c r="L1259" s="35">
        <f>COUNTIFS($A$2:$A$1501,A1259,$D$2:$D$1501,D1259)</f>
        <v/>
      </c>
    </row>
    <row r="1260">
      <c r="A1260" s="35" t="n">
        <v>252</v>
      </c>
      <c r="B1260" s="41" t="n">
        <v>46551</v>
      </c>
      <c r="C1260" s="35" t="n">
        <v>4</v>
      </c>
      <c r="D1260" s="33" t="inlineStr">
        <is>
          <t>Animals and Nature</t>
        </is>
      </c>
      <c r="E1260" s="36" t="inlineStr">
        <is>
          <t>How many years can a parrot such as a macaw live?</t>
        </is>
      </c>
      <c r="F1260" s="42" t="n">
        <v>60</v>
      </c>
      <c r="G1260" s="33" t="inlineStr">
        <is>
          <t>years</t>
        </is>
      </c>
      <c r="H1260" s="35" t="inlineStr">
        <is>
          <t>Hard</t>
        </is>
      </c>
      <c r="I1260" s="33" t="inlineStr">
        <is>
          <t>San Diego Zoo</t>
        </is>
      </c>
      <c r="J1260" s="35" t="n"/>
      <c r="K1260" s="33" t="inlineStr">
        <is>
          <t>Added Oct 2026. Spot check before this day goes live.</t>
        </is>
      </c>
      <c r="L1260" s="35">
        <f>COUNTIFS($A$2:$A$1501,A1260,$D$2:$D$1501,D1260)</f>
        <v/>
      </c>
    </row>
    <row r="1261">
      <c r="A1261" s="35" t="n">
        <v>252</v>
      </c>
      <c r="B1261" s="41" t="n">
        <v>46551</v>
      </c>
      <c r="C1261" s="35" t="n">
        <v>5</v>
      </c>
      <c r="D1261" s="33" t="inlineStr">
        <is>
          <t>Distance of the Day</t>
        </is>
      </c>
      <c r="E1261" s="36" t="inlineStr">
        <is>
          <t>How far is it in a straight line from Calgary to Delhi?</t>
        </is>
      </c>
      <c r="F1261" s="42" t="n">
        <v>11090</v>
      </c>
      <c r="G1261" s="33" t="inlineStr">
        <is>
          <t>km</t>
        </is>
      </c>
      <c r="H1261" s="35" t="inlineStr">
        <is>
          <t>Hard</t>
        </is>
      </c>
      <c r="I1261" s="33" t="inlineStr">
        <is>
          <t>Computed great-circle distance (city centre to city centre)</t>
        </is>
      </c>
      <c r="J1261" s="35" t="n"/>
      <c r="K1261" s="33" t="n"/>
      <c r="L1261" s="35">
        <f>COUNTIFS($A$2:$A$1501,A1261,$D$2:$D$1501,D1261)</f>
        <v/>
      </c>
    </row>
    <row r="1262">
      <c r="A1262" s="35" t="n">
        <v>253</v>
      </c>
      <c r="B1262" s="41" t="n">
        <v>46552</v>
      </c>
      <c r="C1262" s="35" t="n">
        <v>1</v>
      </c>
      <c r="D1262" s="33" t="inlineStr">
        <is>
          <t>Human Body</t>
        </is>
      </c>
      <c r="E1262" s="36" t="inlineStr">
        <is>
          <t>How many seconds should you wash your hands for?</t>
        </is>
      </c>
      <c r="F1262" s="42" t="n">
        <v>20</v>
      </c>
      <c r="G1262" s="33" t="inlineStr">
        <is>
          <t>seconds</t>
        </is>
      </c>
      <c r="H1262" s="35" t="inlineStr">
        <is>
          <t>Easy</t>
        </is>
      </c>
      <c r="I1262" s="33" t="inlineStr">
        <is>
          <t>Public Health Agency of Canada</t>
        </is>
      </c>
      <c r="J1262" s="35" t="n"/>
      <c r="K1262" s="33" t="inlineStr">
        <is>
          <t>Added Oct 2026. Spot check before this day goes live.</t>
        </is>
      </c>
      <c r="L1262" s="35">
        <f>COUNTIFS($A$2:$A$1501,A1262,$D$2:$D$1501,D1262)</f>
        <v/>
      </c>
    </row>
    <row r="1263">
      <c r="A1263" s="35" t="n">
        <v>253</v>
      </c>
      <c r="B1263" s="41" t="n">
        <v>46552</v>
      </c>
      <c r="C1263" s="35" t="n">
        <v>2</v>
      </c>
      <c r="D1263" s="33" t="inlineStr">
        <is>
          <t>History</t>
        </is>
      </c>
      <c r="E1263" s="36" t="inlineStr">
        <is>
          <t>How many ships were in the Spanish Armada?</t>
        </is>
      </c>
      <c r="F1263" s="42" t="n">
        <v>130</v>
      </c>
      <c r="G1263" s="33" t="inlineStr">
        <is>
          <t>ships</t>
        </is>
      </c>
      <c r="H1263" s="35" t="inlineStr">
        <is>
          <t>Medium</t>
        </is>
      </c>
      <c r="I1263" s="33" t="inlineStr">
        <is>
          <t>Royal Museums Greenwich</t>
        </is>
      </c>
      <c r="J1263" s="35" t="n"/>
      <c r="K1263" s="33" t="inlineStr">
        <is>
          <t>Added Oct 2026. Spot check before this day goes live.</t>
        </is>
      </c>
      <c r="L1263" s="35">
        <f>COUNTIFS($A$2:$A$1501,A1263,$D$2:$D$1501,D1263)</f>
        <v/>
      </c>
    </row>
    <row r="1264">
      <c r="A1264" s="35" t="n">
        <v>253</v>
      </c>
      <c r="B1264" s="41" t="n">
        <v>46552</v>
      </c>
      <c r="C1264" s="35" t="n">
        <v>3</v>
      </c>
      <c r="D1264" s="33" t="inlineStr">
        <is>
          <t>Sports</t>
        </is>
      </c>
      <c r="E1264" s="36" t="inlineStr">
        <is>
          <t>How many goals did Just Fontaine score at the 1958 World Cup, the record for one tournament?</t>
        </is>
      </c>
      <c r="F1264" s="42" t="n">
        <v>13</v>
      </c>
      <c r="G1264" s="33" t="inlineStr">
        <is>
          <t>goals</t>
        </is>
      </c>
      <c r="H1264" s="35" t="inlineStr">
        <is>
          <t>Medium</t>
        </is>
      </c>
      <c r="I1264" s="33" t="inlineStr">
        <is>
          <t>FIFA</t>
        </is>
      </c>
      <c r="J1264" s="35" t="n"/>
      <c r="K1264" s="33" t="inlineStr">
        <is>
          <t>Added Oct 2026. Spot check before this day goes live.</t>
        </is>
      </c>
      <c r="L1264" s="35">
        <f>COUNTIFS($A$2:$A$1501,A1264,$D$2:$D$1501,D1264)</f>
        <v/>
      </c>
    </row>
    <row r="1265">
      <c r="A1265" s="35" t="n">
        <v>253</v>
      </c>
      <c r="B1265" s="41" t="n">
        <v>46552</v>
      </c>
      <c r="C1265" s="35" t="n">
        <v>4</v>
      </c>
      <c r="D1265" s="33" t="inlineStr">
        <is>
          <t>Buildings and Engineering</t>
        </is>
      </c>
      <c r="E1265" s="36" t="inlineStr">
        <is>
          <t>How many elevators does the Burj Khalifa have?</t>
        </is>
      </c>
      <c r="F1265" s="42" t="n">
        <v>57</v>
      </c>
      <c r="G1265" s="33" t="inlineStr">
        <is>
          <t>elevators</t>
        </is>
      </c>
      <c r="H1265" s="35" t="inlineStr">
        <is>
          <t>Hard</t>
        </is>
      </c>
      <c r="I1265" s="33" t="inlineStr">
        <is>
          <t>Burj Khalifa</t>
        </is>
      </c>
      <c r="J1265" s="35" t="n"/>
      <c r="K1265" s="33" t="inlineStr">
        <is>
          <t>Added Oct 2026. Spot check before this day goes live.</t>
        </is>
      </c>
      <c r="L1265" s="35">
        <f>COUNTIFS($A$2:$A$1501,A1265,$D$2:$D$1501,D1265)</f>
        <v/>
      </c>
    </row>
    <row r="1266">
      <c r="A1266" s="35" t="n">
        <v>253</v>
      </c>
      <c r="B1266" s="41" t="n">
        <v>46552</v>
      </c>
      <c r="C1266" s="35" t="n">
        <v>5</v>
      </c>
      <c r="D1266" s="33" t="inlineStr">
        <is>
          <t>Distance of the Day</t>
        </is>
      </c>
      <c r="E1266" s="36" t="inlineStr">
        <is>
          <t>How far is it in a straight line from Anchorage to Shanghai?</t>
        </is>
      </c>
      <c r="F1266" s="42" t="n">
        <v>6930</v>
      </c>
      <c r="G1266" s="33" t="inlineStr">
        <is>
          <t>km</t>
        </is>
      </c>
      <c r="H1266" s="35" t="inlineStr">
        <is>
          <t>Medium</t>
        </is>
      </c>
      <c r="I1266" s="33" t="inlineStr">
        <is>
          <t>Computed great-circle distance (city centre to city centre)</t>
        </is>
      </c>
      <c r="J1266" s="35" t="n"/>
      <c r="K1266" s="33" t="n"/>
      <c r="L1266" s="35">
        <f>COUNTIFS($A$2:$A$1501,A1266,$D$2:$D$1501,D1266)</f>
        <v/>
      </c>
    </row>
    <row r="1267">
      <c r="A1267" s="35" t="n">
        <v>254</v>
      </c>
      <c r="B1267" s="41" t="n">
        <v>46553</v>
      </c>
      <c r="C1267" s="35" t="n">
        <v>1</v>
      </c>
      <c r="D1267" s="33" t="inlineStr">
        <is>
          <t>Food and Everyday Life</t>
        </is>
      </c>
      <c r="E1267" s="36" t="inlineStr">
        <is>
          <t>How many tines does a standard dinner fork have?</t>
        </is>
      </c>
      <c r="F1267" s="42" t="n">
        <v>4</v>
      </c>
      <c r="G1267" s="33" t="inlineStr">
        <is>
          <t>tines</t>
        </is>
      </c>
      <c r="H1267" s="35" t="inlineStr">
        <is>
          <t>Easy</t>
        </is>
      </c>
      <c r="I1267" s="33" t="inlineStr">
        <is>
          <t>Britannica</t>
        </is>
      </c>
      <c r="J1267" s="35" t="n"/>
      <c r="K1267" s="33" t="inlineStr">
        <is>
          <t>Added Oct 2026. Spot check before this day goes live.</t>
        </is>
      </c>
      <c r="L1267" s="35">
        <f>COUNTIFS($A$2:$A$1501,A1267,$D$2:$D$1501,D1267)</f>
        <v/>
      </c>
    </row>
    <row r="1268">
      <c r="A1268" s="35" t="n">
        <v>254</v>
      </c>
      <c r="B1268" s="41" t="n">
        <v>46553</v>
      </c>
      <c r="C1268" s="35" t="n">
        <v>2</v>
      </c>
      <c r="D1268" s="33" t="inlineStr">
        <is>
          <t>Movies, Music and Games</t>
        </is>
      </c>
      <c r="E1268" s="36" t="inlineStr">
        <is>
          <t>How long is The Avengers (2012)?</t>
        </is>
      </c>
      <c r="F1268" s="42" t="n">
        <v>143</v>
      </c>
      <c r="G1268" s="33" t="inlineStr">
        <is>
          <t>minutes</t>
        </is>
      </c>
      <c r="H1268" s="35" t="inlineStr">
        <is>
          <t>Medium</t>
        </is>
      </c>
      <c r="I1268" s="33" t="inlineStr">
        <is>
          <t>IMDb</t>
        </is>
      </c>
      <c r="J1268" s="35" t="n"/>
      <c r="K1268" s="33" t="inlineStr">
        <is>
          <t>Added Oct 2026. Spot check before this day goes live.</t>
        </is>
      </c>
      <c r="L1268" s="35">
        <f>COUNTIFS($A$2:$A$1501,A1268,$D$2:$D$1501,D1268)</f>
        <v/>
      </c>
    </row>
    <row r="1269">
      <c r="A1269" s="35" t="n">
        <v>254</v>
      </c>
      <c r="B1269" s="41" t="n">
        <v>46553</v>
      </c>
      <c r="C1269" s="35" t="n">
        <v>3</v>
      </c>
      <c r="D1269" s="33" t="inlineStr">
        <is>
          <t>Canada</t>
        </is>
      </c>
      <c r="E1269" s="36" t="inlineStr">
        <is>
          <t>How big is Great Slave Lake?</t>
        </is>
      </c>
      <c r="F1269" s="42" t="n">
        <v>27200</v>
      </c>
      <c r="G1269" s="33" t="inlineStr">
        <is>
          <t>km²</t>
        </is>
      </c>
      <c r="H1269" s="35" t="inlineStr">
        <is>
          <t>Hard</t>
        </is>
      </c>
      <c r="I1269" s="33" t="inlineStr">
        <is>
          <t>Government of the Northwest Territories</t>
        </is>
      </c>
      <c r="J1269" s="35" t="n"/>
      <c r="K1269" s="33" t="inlineStr">
        <is>
          <t>Added Oct 2026. Spot check before this day goes live.</t>
        </is>
      </c>
      <c r="L1269" s="35">
        <f>COUNTIFS($A$2:$A$1501,A1269,$D$2:$D$1501,D1269)</f>
        <v/>
      </c>
    </row>
    <row r="1270">
      <c r="A1270" s="35" t="n">
        <v>254</v>
      </c>
      <c r="B1270" s="41" t="n">
        <v>46553</v>
      </c>
      <c r="C1270" s="35" t="n">
        <v>4</v>
      </c>
      <c r="D1270" s="33" t="inlineStr">
        <is>
          <t>Geography</t>
        </is>
      </c>
      <c r="E1270" s="36" t="inlineStr">
        <is>
          <t>How wide is the Strait of Hormuz at its narrowest point?</t>
        </is>
      </c>
      <c r="F1270" s="42" t="n">
        <v>39</v>
      </c>
      <c r="G1270" s="33" t="inlineStr">
        <is>
          <t>km</t>
        </is>
      </c>
      <c r="H1270" s="35" t="inlineStr">
        <is>
          <t>Hard</t>
        </is>
      </c>
      <c r="I1270" s="33" t="inlineStr">
        <is>
          <t>US Energy Information Administration</t>
        </is>
      </c>
      <c r="J1270" s="35" t="n"/>
      <c r="K1270" s="33" t="inlineStr">
        <is>
          <t>Added Oct 2026. Spot check before this day goes live.</t>
        </is>
      </c>
      <c r="L1270" s="35">
        <f>COUNTIFS($A$2:$A$1501,A1270,$D$2:$D$1501,D1270)</f>
        <v/>
      </c>
    </row>
    <row r="1271">
      <c r="A1271" s="35" t="n">
        <v>254</v>
      </c>
      <c r="B1271" s="41" t="n">
        <v>46553</v>
      </c>
      <c r="C1271" s="35" t="n">
        <v>5</v>
      </c>
      <c r="D1271" s="33" t="inlineStr">
        <is>
          <t>Distance of the Day</t>
        </is>
      </c>
      <c r="E1271" s="36" t="inlineStr">
        <is>
          <t>How far is it in a straight line from Shanghai to Seoul?</t>
        </is>
      </c>
      <c r="F1271" s="42" t="n">
        <v>870</v>
      </c>
      <c r="G1271" s="33" t="inlineStr">
        <is>
          <t>km</t>
        </is>
      </c>
      <c r="H1271" s="35" t="inlineStr">
        <is>
          <t>Easy</t>
        </is>
      </c>
      <c r="I1271" s="33" t="inlineStr">
        <is>
          <t>Computed great-circle distance (city centre to city centre)</t>
        </is>
      </c>
      <c r="J1271" s="35" t="n"/>
      <c r="K1271" s="33" t="n"/>
      <c r="L1271" s="35">
        <f>COUNTIFS($A$2:$A$1501,A1271,$D$2:$D$1501,D1271)</f>
        <v/>
      </c>
    </row>
    <row r="1272">
      <c r="A1272" s="35" t="n">
        <v>255</v>
      </c>
      <c r="B1272" s="41" t="n">
        <v>46554</v>
      </c>
      <c r="C1272" s="35" t="n">
        <v>1</v>
      </c>
      <c r="D1272" s="33" t="inlineStr">
        <is>
          <t>Sports</t>
        </is>
      </c>
      <c r="E1272" s="36" t="inlineStr">
        <is>
          <t>How long is an NBA court?</t>
        </is>
      </c>
      <c r="F1272" s="42" t="n">
        <v>94</v>
      </c>
      <c r="G1272" s="33" t="inlineStr">
        <is>
          <t>feet</t>
        </is>
      </c>
      <c r="H1272" s="35" t="inlineStr">
        <is>
          <t>Medium</t>
        </is>
      </c>
      <c r="I1272" s="33" t="inlineStr">
        <is>
          <t>NBA rulebook</t>
        </is>
      </c>
      <c r="J1272" s="35" t="n"/>
      <c r="K1272" s="33" t="inlineStr">
        <is>
          <t>Added Oct 2026. Spot check before this day goes live.</t>
        </is>
      </c>
      <c r="L1272" s="35">
        <f>COUNTIFS($A$2:$A$1501,A1272,$D$2:$D$1501,D1272)</f>
        <v/>
      </c>
    </row>
    <row r="1273">
      <c r="A1273" s="35" t="n">
        <v>255</v>
      </c>
      <c r="B1273" s="41" t="n">
        <v>46554</v>
      </c>
      <c r="C1273" s="35" t="n">
        <v>2</v>
      </c>
      <c r="D1273" s="33" t="inlineStr">
        <is>
          <t>Animals and Nature</t>
        </is>
      </c>
      <c r="E1273" s="36" t="inlineStr">
        <is>
          <t>How wide can the largest Rafflesia flower grow?</t>
        </is>
      </c>
      <c r="F1273" s="42" t="n">
        <v>100</v>
      </c>
      <c r="G1273" s="33" t="inlineStr">
        <is>
          <t>cm</t>
        </is>
      </c>
      <c r="H1273" s="35" t="inlineStr">
        <is>
          <t>Medium</t>
        </is>
      </c>
      <c r="I1273" s="33" t="inlineStr">
        <is>
          <t>Britannica</t>
        </is>
      </c>
      <c r="J1273" s="35" t="n"/>
      <c r="K1273" s="33" t="inlineStr">
        <is>
          <t>Added Oct 2026. Spot check before this day goes live.</t>
        </is>
      </c>
      <c r="L1273" s="35">
        <f>COUNTIFS($A$2:$A$1501,A1273,$D$2:$D$1501,D1273)</f>
        <v/>
      </c>
    </row>
    <row r="1274">
      <c r="A1274" s="35" t="n">
        <v>255</v>
      </c>
      <c r="B1274" s="41" t="n">
        <v>46554</v>
      </c>
      <c r="C1274" s="35" t="n">
        <v>3</v>
      </c>
      <c r="D1274" s="33" t="inlineStr">
        <is>
          <t>Space and Science</t>
        </is>
      </c>
      <c r="E1274" s="36" t="inlineStr">
        <is>
          <t>How many rings does Saturn have in its main ring system?</t>
        </is>
      </c>
      <c r="F1274" s="42" t="n">
        <v>7</v>
      </c>
      <c r="G1274" s="33" t="inlineStr">
        <is>
          <t>rings</t>
        </is>
      </c>
      <c r="H1274" s="35" t="inlineStr">
        <is>
          <t>Hard</t>
        </is>
      </c>
      <c r="I1274" s="33" t="inlineStr">
        <is>
          <t>NASA</t>
        </is>
      </c>
      <c r="J1274" s="35" t="n"/>
      <c r="K1274" s="33" t="inlineStr">
        <is>
          <t>Added Oct 2026. Spot check before this day goes live.</t>
        </is>
      </c>
      <c r="L1274" s="35">
        <f>COUNTIFS($A$2:$A$1501,A1274,$D$2:$D$1501,D1274)</f>
        <v/>
      </c>
    </row>
    <row r="1275">
      <c r="A1275" s="35" t="n">
        <v>255</v>
      </c>
      <c r="B1275" s="41" t="n">
        <v>46554</v>
      </c>
      <c r="C1275" s="35" t="n">
        <v>4</v>
      </c>
      <c r="D1275" s="33" t="inlineStr">
        <is>
          <t>Buildings and Engineering</t>
        </is>
      </c>
      <c r="E1275" s="36" t="inlineStr">
        <is>
          <t>How tall is the Millau Viaduct's tallest mast, the world's tallest bridge?</t>
        </is>
      </c>
      <c r="F1275" s="42" t="n">
        <v>343</v>
      </c>
      <c r="G1275" s="33" t="inlineStr">
        <is>
          <t>metres</t>
        </is>
      </c>
      <c r="H1275" s="35" t="inlineStr">
        <is>
          <t>Hard</t>
        </is>
      </c>
      <c r="I1275" s="33" t="inlineStr">
        <is>
          <t>Viaduc de Millau</t>
        </is>
      </c>
      <c r="J1275" s="35" t="n"/>
      <c r="K1275" s="33" t="inlineStr">
        <is>
          <t>Added Oct 2026. Spot check before this day goes live.</t>
        </is>
      </c>
      <c r="L1275" s="35">
        <f>COUNTIFS($A$2:$A$1501,A1275,$D$2:$D$1501,D1275)</f>
        <v/>
      </c>
    </row>
    <row r="1276">
      <c r="A1276" s="35" t="n">
        <v>255</v>
      </c>
      <c r="B1276" s="41" t="n">
        <v>46554</v>
      </c>
      <c r="C1276" s="35" t="n">
        <v>5</v>
      </c>
      <c r="D1276" s="33" t="inlineStr">
        <is>
          <t>Distance of the Day</t>
        </is>
      </c>
      <c r="E1276" s="36" t="inlineStr">
        <is>
          <t>How far is it in a straight line from Whitehorse to Miami?</t>
        </is>
      </c>
      <c r="F1276" s="42" t="n">
        <v>5640</v>
      </c>
      <c r="G1276" s="33" t="inlineStr">
        <is>
          <t>km</t>
        </is>
      </c>
      <c r="H1276" s="35" t="inlineStr">
        <is>
          <t>Medium</t>
        </is>
      </c>
      <c r="I1276" s="33" t="inlineStr">
        <is>
          <t>Computed great-circle distance (city centre to city centre)</t>
        </is>
      </c>
      <c r="J1276" s="35" t="n"/>
      <c r="K1276" s="33" t="n"/>
      <c r="L1276" s="35">
        <f>COUNTIFS($A$2:$A$1501,A1276,$D$2:$D$1501,D1276)</f>
        <v/>
      </c>
    </row>
    <row r="1277">
      <c r="A1277" s="35" t="n">
        <v>256</v>
      </c>
      <c r="B1277" s="41" t="n">
        <v>46555</v>
      </c>
      <c r="C1277" s="35" t="n">
        <v>1</v>
      </c>
      <c r="D1277" s="33" t="inlineStr">
        <is>
          <t>Food and Everyday Life</t>
        </is>
      </c>
      <c r="E1277" s="36" t="inlineStr">
        <is>
          <t>How many slices is a large pizza usually cut into?</t>
        </is>
      </c>
      <c r="F1277" s="42" t="n">
        <v>8</v>
      </c>
      <c r="G1277" s="33" t="inlineStr">
        <is>
          <t>slices</t>
        </is>
      </c>
      <c r="H1277" s="35" t="inlineStr">
        <is>
          <t>Easy</t>
        </is>
      </c>
      <c r="I1277" s="33" t="inlineStr">
        <is>
          <t>Pizza industry standard</t>
        </is>
      </c>
      <c r="J1277" s="35" t="n"/>
      <c r="K1277" s="33" t="inlineStr">
        <is>
          <t>Added Oct 2026. Spot check before this day goes live.</t>
        </is>
      </c>
      <c r="L1277" s="35">
        <f>COUNTIFS($A$2:$A$1501,A1277,$D$2:$D$1501,D1277)</f>
        <v/>
      </c>
    </row>
    <row r="1278">
      <c r="A1278" s="35" t="n">
        <v>256</v>
      </c>
      <c r="B1278" s="41" t="n">
        <v>46555</v>
      </c>
      <c r="C1278" s="35" t="n">
        <v>2</v>
      </c>
      <c r="D1278" s="33" t="inlineStr">
        <is>
          <t>Canada</t>
        </is>
      </c>
      <c r="E1278" s="36" t="inlineStr">
        <is>
          <t>How long is the Athabasca Glacier?</t>
        </is>
      </c>
      <c r="F1278" s="42" t="n">
        <v>6</v>
      </c>
      <c r="G1278" s="33" t="inlineStr">
        <is>
          <t>km</t>
        </is>
      </c>
      <c r="H1278" s="35" t="inlineStr">
        <is>
          <t>Medium</t>
        </is>
      </c>
      <c r="I1278" s="33" t="inlineStr">
        <is>
          <t>Parks Canada</t>
        </is>
      </c>
      <c r="J1278" s="35" t="n"/>
      <c r="K1278" s="33" t="inlineStr">
        <is>
          <t>Added Oct 2026. Spot check before this day goes live.</t>
        </is>
      </c>
      <c r="L1278" s="35">
        <f>COUNTIFS($A$2:$A$1501,A1278,$D$2:$D$1501,D1278)</f>
        <v/>
      </c>
    </row>
    <row r="1279">
      <c r="A1279" s="35" t="n">
        <v>256</v>
      </c>
      <c r="B1279" s="41" t="n">
        <v>46555</v>
      </c>
      <c r="C1279" s="35" t="n">
        <v>3</v>
      </c>
      <c r="D1279" s="33" t="inlineStr">
        <is>
          <t>Human Body</t>
        </is>
      </c>
      <c r="E1279" s="36" t="inlineStr">
        <is>
          <t>Below what body temperature does hypothermia start?</t>
        </is>
      </c>
      <c r="F1279" s="42" t="n">
        <v>35</v>
      </c>
      <c r="G1279" s="33" t="inlineStr">
        <is>
          <t>°C</t>
        </is>
      </c>
      <c r="H1279" s="35" t="inlineStr">
        <is>
          <t>Medium</t>
        </is>
      </c>
      <c r="I1279" s="33" t="inlineStr">
        <is>
          <t>Mayo Clinic</t>
        </is>
      </c>
      <c r="J1279" s="35" t="n"/>
      <c r="K1279" s="33" t="inlineStr">
        <is>
          <t>Added Oct 2026. Spot check before this day goes live.</t>
        </is>
      </c>
      <c r="L1279" s="35">
        <f>COUNTIFS($A$2:$A$1501,A1279,$D$2:$D$1501,D1279)</f>
        <v/>
      </c>
    </row>
    <row r="1280">
      <c r="A1280" s="35" t="n">
        <v>256</v>
      </c>
      <c r="B1280" s="41" t="n">
        <v>46555</v>
      </c>
      <c r="C1280" s="35" t="n">
        <v>4</v>
      </c>
      <c r="D1280" s="33" t="inlineStr">
        <is>
          <t>Geography</t>
        </is>
      </c>
      <c r="E1280" s="36" t="inlineStr">
        <is>
          <t>How big is Germany?</t>
        </is>
      </c>
      <c r="F1280" s="42" t="n">
        <v>357592</v>
      </c>
      <c r="G1280" s="33" t="inlineStr">
        <is>
          <t>km²</t>
        </is>
      </c>
      <c r="H1280" s="35" t="inlineStr">
        <is>
          <t>Hard</t>
        </is>
      </c>
      <c r="I1280" s="33" t="inlineStr">
        <is>
          <t>Destatis</t>
        </is>
      </c>
      <c r="J1280" s="35" t="n"/>
      <c r="K1280" s="33" t="inlineStr">
        <is>
          <t>Added Oct 2026. Spot check before this day goes live.</t>
        </is>
      </c>
      <c r="L1280" s="35">
        <f>COUNTIFS($A$2:$A$1501,A1280,$D$2:$D$1501,D1280)</f>
        <v/>
      </c>
    </row>
    <row r="1281">
      <c r="A1281" s="35" t="n">
        <v>256</v>
      </c>
      <c r="B1281" s="41" t="n">
        <v>46555</v>
      </c>
      <c r="C1281" s="35" t="n">
        <v>5</v>
      </c>
      <c r="D1281" s="33" t="inlineStr">
        <is>
          <t>Distance of the Day</t>
        </is>
      </c>
      <c r="E1281" s="36" t="inlineStr">
        <is>
          <t>How far is it in a straight line from Thunder Bay to Beijing?</t>
        </is>
      </c>
      <c r="F1281" s="42" t="n">
        <v>9880</v>
      </c>
      <c r="G1281" s="33" t="inlineStr">
        <is>
          <t>km</t>
        </is>
      </c>
      <c r="H1281" s="35" t="inlineStr">
        <is>
          <t>Hard</t>
        </is>
      </c>
      <c r="I1281" s="33" t="inlineStr">
        <is>
          <t>Computed great-circle distance (city centre to city centre)</t>
        </is>
      </c>
      <c r="J1281" s="35" t="n"/>
      <c r="K1281" s="33" t="n"/>
      <c r="L1281" s="35">
        <f>COUNTIFS($A$2:$A$1501,A1281,$D$2:$D$1501,D1281)</f>
        <v/>
      </c>
    </row>
    <row r="1282">
      <c r="A1282" s="35" t="n">
        <v>257</v>
      </c>
      <c r="B1282" s="41" t="n">
        <v>46556</v>
      </c>
      <c r="C1282" s="35" t="n">
        <v>1</v>
      </c>
      <c r="D1282" s="33" t="inlineStr">
        <is>
          <t>History</t>
        </is>
      </c>
      <c r="E1282" s="36" t="inlineStr">
        <is>
          <t>How many Wonders of the Ancient World were there?</t>
        </is>
      </c>
      <c r="F1282" s="42" t="n">
        <v>7</v>
      </c>
      <c r="G1282" s="33" t="inlineStr">
        <is>
          <t>wonders</t>
        </is>
      </c>
      <c r="H1282" s="35" t="inlineStr">
        <is>
          <t>Easy</t>
        </is>
      </c>
      <c r="I1282" s="33" t="inlineStr">
        <is>
          <t>Britannica</t>
        </is>
      </c>
      <c r="J1282" s="35" t="n"/>
      <c r="K1282" s="33" t="inlineStr">
        <is>
          <t>Added Oct 2026. Spot check before this day goes live.</t>
        </is>
      </c>
      <c r="L1282" s="35">
        <f>COUNTIFS($A$2:$A$1501,A1282,$D$2:$D$1501,D1282)</f>
        <v/>
      </c>
    </row>
    <row r="1283">
      <c r="A1283" s="35" t="n">
        <v>257</v>
      </c>
      <c r="B1283" s="41" t="n">
        <v>46556</v>
      </c>
      <c r="C1283" s="35" t="n">
        <v>2</v>
      </c>
      <c r="D1283" s="33" t="inlineStr">
        <is>
          <t>Movies, Music and Games</t>
        </is>
      </c>
      <c r="E1283" s="36" t="inlineStr">
        <is>
          <t>How many episodes of The Sopranos were made?</t>
        </is>
      </c>
      <c r="F1283" s="42" t="n">
        <v>86</v>
      </c>
      <c r="G1283" s="33" t="inlineStr">
        <is>
          <t>episodes</t>
        </is>
      </c>
      <c r="H1283" s="35" t="inlineStr">
        <is>
          <t>Medium</t>
        </is>
      </c>
      <c r="I1283" s="33" t="inlineStr">
        <is>
          <t>HBO</t>
        </is>
      </c>
      <c r="J1283" s="35" t="n"/>
      <c r="K1283" s="33" t="inlineStr">
        <is>
          <t>Added Oct 2026. Spot check before this day goes live.</t>
        </is>
      </c>
      <c r="L1283" s="35">
        <f>COUNTIFS($A$2:$A$1501,A1283,$D$2:$D$1501,D1283)</f>
        <v/>
      </c>
    </row>
    <row r="1284">
      <c r="A1284" s="35" t="n">
        <v>257</v>
      </c>
      <c r="B1284" s="41" t="n">
        <v>46556</v>
      </c>
      <c r="C1284" s="35" t="n">
        <v>3</v>
      </c>
      <c r="D1284" s="33" t="inlineStr">
        <is>
          <t>Sports</t>
        </is>
      </c>
      <c r="E1284" s="36" t="inlineStr">
        <is>
          <t>How fast did Hicham El Guerrouj run his mile world record?</t>
        </is>
      </c>
      <c r="F1284" s="42" t="n">
        <v>223.13</v>
      </c>
      <c r="G1284" s="33" t="inlineStr">
        <is>
          <t>seconds</t>
        </is>
      </c>
      <c r="H1284" s="35" t="inlineStr">
        <is>
          <t>Hard</t>
        </is>
      </c>
      <c r="I1284" s="33" t="inlineStr">
        <is>
          <t>World Athletics</t>
        </is>
      </c>
      <c r="J1284" s="35" t="n"/>
      <c r="K1284" s="33" t="inlineStr">
        <is>
          <t>Added Oct 2026. Spot check before this day goes live.</t>
        </is>
      </c>
      <c r="L1284" s="35">
        <f>COUNTIFS($A$2:$A$1501,A1284,$D$2:$D$1501,D1284)</f>
        <v/>
      </c>
    </row>
    <row r="1285">
      <c r="A1285" s="35" t="n">
        <v>257</v>
      </c>
      <c r="B1285" s="41" t="n">
        <v>46556</v>
      </c>
      <c r="C1285" s="35" t="n">
        <v>4</v>
      </c>
      <c r="D1285" s="33" t="inlineStr">
        <is>
          <t>Space and Science</t>
        </is>
      </c>
      <c r="E1285" s="36" t="inlineStr">
        <is>
          <t>How many Space Shuttle missions flew between 1981 and 2011?</t>
        </is>
      </c>
      <c r="F1285" s="42" t="n">
        <v>135</v>
      </c>
      <c r="G1285" s="33" t="inlineStr">
        <is>
          <t>missions</t>
        </is>
      </c>
      <c r="H1285" s="35" t="inlineStr">
        <is>
          <t>Hard</t>
        </is>
      </c>
      <c r="I1285" s="33" t="inlineStr">
        <is>
          <t>NASA</t>
        </is>
      </c>
      <c r="J1285" s="35" t="n"/>
      <c r="K1285" s="33" t="inlineStr">
        <is>
          <t>Added Oct 2026. Spot check before this day goes live.</t>
        </is>
      </c>
      <c r="L1285" s="35">
        <f>COUNTIFS($A$2:$A$1501,A1285,$D$2:$D$1501,D1285)</f>
        <v/>
      </c>
    </row>
    <row r="1286">
      <c r="A1286" s="35" t="n">
        <v>257</v>
      </c>
      <c r="B1286" s="41" t="n">
        <v>46556</v>
      </c>
      <c r="C1286" s="35" t="n">
        <v>5</v>
      </c>
      <c r="D1286" s="33" t="inlineStr">
        <is>
          <t>Distance of the Day</t>
        </is>
      </c>
      <c r="E1286" s="36" t="inlineStr">
        <is>
          <t>How far is it in a straight line from Houston to Cancún?</t>
        </is>
      </c>
      <c r="F1286" s="42" t="n">
        <v>1280</v>
      </c>
      <c r="G1286" s="33" t="inlineStr">
        <is>
          <t>km</t>
        </is>
      </c>
      <c r="H1286" s="35" t="inlineStr">
        <is>
          <t>Easy</t>
        </is>
      </c>
      <c r="I1286" s="33" t="inlineStr">
        <is>
          <t>Computed great-circle distance (city centre to city centre)</t>
        </is>
      </c>
      <c r="J1286" s="35" t="n"/>
      <c r="K1286" s="33" t="n"/>
      <c r="L1286" s="35">
        <f>COUNTIFS($A$2:$A$1501,A1286,$D$2:$D$1501,D1286)</f>
        <v/>
      </c>
    </row>
    <row r="1287">
      <c r="A1287" s="35" t="n">
        <v>258</v>
      </c>
      <c r="B1287" s="41" t="n">
        <v>46557</v>
      </c>
      <c r="C1287" s="35" t="n">
        <v>1</v>
      </c>
      <c r="D1287" s="33" t="inlineStr">
        <is>
          <t>Human Body</t>
        </is>
      </c>
      <c r="E1287" s="36" t="inlineStr">
        <is>
          <t>How many lungs does a human have?</t>
        </is>
      </c>
      <c r="F1287" s="42" t="n">
        <v>2</v>
      </c>
      <c r="G1287" s="33" t="inlineStr">
        <is>
          <t>lungs</t>
        </is>
      </c>
      <c r="H1287" s="35" t="inlineStr">
        <is>
          <t>Easy</t>
        </is>
      </c>
      <c r="I1287" s="33" t="inlineStr">
        <is>
          <t>American Lung Association</t>
        </is>
      </c>
      <c r="J1287" s="35" t="n"/>
      <c r="K1287" s="33" t="inlineStr">
        <is>
          <t>Added Oct 2026. Spot check before this day goes live.</t>
        </is>
      </c>
      <c r="L1287" s="35">
        <f>COUNTIFS($A$2:$A$1501,A1287,$D$2:$D$1501,D1287)</f>
        <v/>
      </c>
    </row>
    <row r="1288">
      <c r="A1288" s="35" t="n">
        <v>258</v>
      </c>
      <c r="B1288" s="41" t="n">
        <v>46557</v>
      </c>
      <c r="C1288" s="35" t="n">
        <v>2</v>
      </c>
      <c r="D1288" s="33" t="inlineStr">
        <is>
          <t>Geography</t>
        </is>
      </c>
      <c r="E1288" s="36" t="inlineStr">
        <is>
          <t>How big is Monaco?</t>
        </is>
      </c>
      <c r="F1288" s="42" t="n">
        <v>2.02</v>
      </c>
      <c r="G1288" s="33" t="inlineStr">
        <is>
          <t>km²</t>
        </is>
      </c>
      <c r="H1288" s="35" t="inlineStr">
        <is>
          <t>Medium</t>
        </is>
      </c>
      <c r="I1288" s="33" t="inlineStr">
        <is>
          <t>CIA World Factbook</t>
        </is>
      </c>
      <c r="J1288" s="35" t="n"/>
      <c r="K1288" s="33" t="inlineStr">
        <is>
          <t>Added Oct 2026. Spot check before this day goes live.</t>
        </is>
      </c>
      <c r="L1288" s="35">
        <f>COUNTIFS($A$2:$A$1501,A1288,$D$2:$D$1501,D1288)</f>
        <v/>
      </c>
    </row>
    <row r="1289">
      <c r="A1289" s="35" t="n">
        <v>258</v>
      </c>
      <c r="B1289" s="41" t="n">
        <v>46557</v>
      </c>
      <c r="C1289" s="35" t="n">
        <v>3</v>
      </c>
      <c r="D1289" s="33" t="inlineStr">
        <is>
          <t>Food and Everyday Life</t>
        </is>
      </c>
      <c r="E1289" s="36" t="inlineStr">
        <is>
          <t>How high is a standard ceiling in a North American home?</t>
        </is>
      </c>
      <c r="F1289" s="42" t="n">
        <v>2.4</v>
      </c>
      <c r="G1289" s="33" t="inlineStr">
        <is>
          <t>metres</t>
        </is>
      </c>
      <c r="H1289" s="35" t="inlineStr">
        <is>
          <t>Medium</t>
        </is>
      </c>
      <c r="I1289" s="33" t="inlineStr">
        <is>
          <t>National Building Code of Canada</t>
        </is>
      </c>
      <c r="J1289" s="35" t="n"/>
      <c r="K1289" s="33" t="inlineStr">
        <is>
          <t>Added Oct 2026. Spot check before this day goes live.</t>
        </is>
      </c>
      <c r="L1289" s="35">
        <f>COUNTIFS($A$2:$A$1501,A1289,$D$2:$D$1501,D1289)</f>
        <v/>
      </c>
    </row>
    <row r="1290">
      <c r="A1290" s="35" t="n">
        <v>258</v>
      </c>
      <c r="B1290" s="41" t="n">
        <v>46557</v>
      </c>
      <c r="C1290" s="35" t="n">
        <v>4</v>
      </c>
      <c r="D1290" s="33" t="inlineStr">
        <is>
          <t>Canada</t>
        </is>
      </c>
      <c r="E1290" s="36" t="inlineStr">
        <is>
          <t>How tall is Mount Robson, the highest peak in the Canadian Rockies?</t>
        </is>
      </c>
      <c r="F1290" s="42" t="n">
        <v>3954</v>
      </c>
      <c r="G1290" s="33" t="inlineStr">
        <is>
          <t>metres</t>
        </is>
      </c>
      <c r="H1290" s="35" t="inlineStr">
        <is>
          <t>Hard</t>
        </is>
      </c>
      <c r="I1290" s="33" t="inlineStr">
        <is>
          <t>BC Parks</t>
        </is>
      </c>
      <c r="J1290" s="35" t="n"/>
      <c r="K1290" s="33" t="inlineStr">
        <is>
          <t>Added Oct 2026. Spot check before this day goes live.</t>
        </is>
      </c>
      <c r="L1290" s="35">
        <f>COUNTIFS($A$2:$A$1501,A1290,$D$2:$D$1501,D1290)</f>
        <v/>
      </c>
    </row>
    <row r="1291">
      <c r="A1291" s="35" t="n">
        <v>258</v>
      </c>
      <c r="B1291" s="41" t="n">
        <v>46557</v>
      </c>
      <c r="C1291" s="35" t="n">
        <v>5</v>
      </c>
      <c r="D1291" s="33" t="inlineStr">
        <is>
          <t>Distance of the Day</t>
        </is>
      </c>
      <c r="E1291" s="36" t="inlineStr">
        <is>
          <t>How far is it in a straight line from Kelowna to Atlanta?</t>
        </is>
      </c>
      <c r="F1291" s="42" t="n">
        <v>3370</v>
      </c>
      <c r="G1291" s="33" t="inlineStr">
        <is>
          <t>km</t>
        </is>
      </c>
      <c r="H1291" s="35" t="inlineStr">
        <is>
          <t>Medium</t>
        </is>
      </c>
      <c r="I1291" s="33" t="inlineStr">
        <is>
          <t>Computed great-circle distance (city centre to city centre)</t>
        </is>
      </c>
      <c r="J1291" s="35" t="n"/>
      <c r="K1291" s="33" t="n"/>
      <c r="L1291" s="35">
        <f>COUNTIFS($A$2:$A$1501,A1291,$D$2:$D$1501,D1291)</f>
        <v/>
      </c>
    </row>
    <row r="1292">
      <c r="A1292" s="35" t="n">
        <v>259</v>
      </c>
      <c r="B1292" s="41" t="n">
        <v>46558</v>
      </c>
      <c r="C1292" s="35" t="n">
        <v>1</v>
      </c>
      <c r="D1292" s="33" t="inlineStr">
        <is>
          <t>History</t>
        </is>
      </c>
      <c r="E1292" s="36" t="inlineStr">
        <is>
          <t>How many years did it take the US to build the Panama Canal?</t>
        </is>
      </c>
      <c r="F1292" s="42" t="n">
        <v>10</v>
      </c>
      <c r="G1292" s="33" t="inlineStr">
        <is>
          <t>years</t>
        </is>
      </c>
      <c r="H1292" s="35" t="inlineStr">
        <is>
          <t>Medium</t>
        </is>
      </c>
      <c r="I1292" s="33" t="inlineStr">
        <is>
          <t>Panama Canal Authority</t>
        </is>
      </c>
      <c r="J1292" s="35" t="n"/>
      <c r="K1292" s="33" t="inlineStr">
        <is>
          <t>Added Oct 2026. Spot check before this day goes live.</t>
        </is>
      </c>
      <c r="L1292" s="35">
        <f>COUNTIFS($A$2:$A$1501,A1292,$D$2:$D$1501,D1292)</f>
        <v/>
      </c>
    </row>
    <row r="1293">
      <c r="A1293" s="35" t="n">
        <v>259</v>
      </c>
      <c r="B1293" s="41" t="n">
        <v>46558</v>
      </c>
      <c r="C1293" s="35" t="n">
        <v>2</v>
      </c>
      <c r="D1293" s="33" t="inlineStr">
        <is>
          <t>Animals and Nature</t>
        </is>
      </c>
      <c r="E1293" s="36" t="inlineStr">
        <is>
          <t>How many times its own body weight can an ant carry?</t>
        </is>
      </c>
      <c r="F1293" s="42" t="n">
        <v>50</v>
      </c>
      <c r="G1293" s="33" t="inlineStr">
        <is>
          <t>times</t>
        </is>
      </c>
      <c r="H1293" s="35" t="inlineStr">
        <is>
          <t>Medium</t>
        </is>
      </c>
      <c r="I1293" s="33" t="inlineStr">
        <is>
          <t>Ohio State University study</t>
        </is>
      </c>
      <c r="J1293" s="35" t="n"/>
      <c r="K1293" s="33" t="inlineStr">
        <is>
          <t>Added Oct 2026. Spot check before this day goes live.</t>
        </is>
      </c>
      <c r="L1293" s="35">
        <f>COUNTIFS($A$2:$A$1501,A1293,$D$2:$D$1501,D1293)</f>
        <v/>
      </c>
    </row>
    <row r="1294">
      <c r="A1294" s="35" t="n">
        <v>259</v>
      </c>
      <c r="B1294" s="41" t="n">
        <v>46558</v>
      </c>
      <c r="C1294" s="35" t="n">
        <v>3</v>
      </c>
      <c r="D1294" s="33" t="inlineStr">
        <is>
          <t>Buildings and Engineering</t>
        </is>
      </c>
      <c r="E1294" s="36" t="inlineStr">
        <is>
          <t>How long is the Øresund Bridge between Denmark and Sweden?</t>
        </is>
      </c>
      <c r="F1294" s="42" t="n">
        <v>7.8</v>
      </c>
      <c r="G1294" s="33" t="inlineStr">
        <is>
          <t>km</t>
        </is>
      </c>
      <c r="H1294" s="35" t="inlineStr">
        <is>
          <t>Hard</t>
        </is>
      </c>
      <c r="I1294" s="33" t="inlineStr">
        <is>
          <t>Øresundsbron</t>
        </is>
      </c>
      <c r="J1294" s="35" t="n"/>
      <c r="K1294" s="33" t="inlineStr">
        <is>
          <t>Added Oct 2026. Spot check before this day goes live.</t>
        </is>
      </c>
      <c r="L1294" s="35">
        <f>COUNTIFS($A$2:$A$1501,A1294,$D$2:$D$1501,D1294)</f>
        <v/>
      </c>
    </row>
    <row r="1295">
      <c r="A1295" s="35" t="n">
        <v>259</v>
      </c>
      <c r="B1295" s="41" t="n">
        <v>46558</v>
      </c>
      <c r="C1295" s="35" t="n">
        <v>4</v>
      </c>
      <c r="D1295" s="33" t="inlineStr">
        <is>
          <t>Space and Science</t>
        </is>
      </c>
      <c r="E1295" s="36" t="inlineStr">
        <is>
          <t>How tall is Olympus Mons on Mars, the tallest volcano in the solar system?</t>
        </is>
      </c>
      <c r="F1295" s="42" t="n">
        <v>22</v>
      </c>
      <c r="G1295" s="33" t="inlineStr">
        <is>
          <t>km</t>
        </is>
      </c>
      <c r="H1295" s="35" t="inlineStr">
        <is>
          <t>Hard</t>
        </is>
      </c>
      <c r="I1295" s="33" t="inlineStr">
        <is>
          <t>NASA</t>
        </is>
      </c>
      <c r="J1295" s="35" t="n"/>
      <c r="K1295" s="33" t="inlineStr">
        <is>
          <t>Added Oct 2026. Spot check before this day goes live.</t>
        </is>
      </c>
      <c r="L1295" s="35">
        <f>COUNTIFS($A$2:$A$1501,A1295,$D$2:$D$1501,D1295)</f>
        <v/>
      </c>
    </row>
    <row r="1296">
      <c r="A1296" s="35" t="n">
        <v>259</v>
      </c>
      <c r="B1296" s="41" t="n">
        <v>46558</v>
      </c>
      <c r="C1296" s="35" t="n">
        <v>5</v>
      </c>
      <c r="D1296" s="33" t="inlineStr">
        <is>
          <t>Distance of the Day</t>
        </is>
      </c>
      <c r="E1296" s="36" t="inlineStr">
        <is>
          <t>How far is it in a straight line from Kingston, Jamaica to Athens?</t>
        </is>
      </c>
      <c r="F1296" s="42" t="n">
        <v>9670</v>
      </c>
      <c r="G1296" s="33" t="inlineStr">
        <is>
          <t>km</t>
        </is>
      </c>
      <c r="H1296" s="35" t="inlineStr">
        <is>
          <t>Hard</t>
        </is>
      </c>
      <c r="I1296" s="33" t="inlineStr">
        <is>
          <t>Computed great-circle distance (city centre to city centre)</t>
        </is>
      </c>
      <c r="J1296" s="35" t="n"/>
      <c r="K1296" s="33" t="n"/>
      <c r="L1296" s="35">
        <f>COUNTIFS($A$2:$A$1501,A1296,$D$2:$D$1501,D1296)</f>
        <v/>
      </c>
    </row>
    <row r="1297">
      <c r="A1297" s="35" t="n">
        <v>260</v>
      </c>
      <c r="B1297" s="41" t="n">
        <v>46559</v>
      </c>
      <c r="C1297" s="35" t="n">
        <v>1</v>
      </c>
      <c r="D1297" s="33" t="inlineStr">
        <is>
          <t>Movies, Music and Games</t>
        </is>
      </c>
      <c r="E1297" s="36" t="inlineStr">
        <is>
          <t>How many strings does a standard guitar have?</t>
        </is>
      </c>
      <c r="F1297" s="42" t="n">
        <v>6</v>
      </c>
      <c r="G1297" s="33" t="inlineStr">
        <is>
          <t>strings</t>
        </is>
      </c>
      <c r="H1297" s="35" t="inlineStr">
        <is>
          <t>Easy</t>
        </is>
      </c>
      <c r="I1297" s="33" t="inlineStr">
        <is>
          <t>Britannica</t>
        </is>
      </c>
      <c r="J1297" s="35" t="n"/>
      <c r="K1297" s="33" t="inlineStr">
        <is>
          <t>Added Oct 2026. Spot check before this day goes live.</t>
        </is>
      </c>
      <c r="L1297" s="35">
        <f>COUNTIFS($A$2:$A$1501,A1297,$D$2:$D$1501,D1297)</f>
        <v/>
      </c>
    </row>
    <row r="1298">
      <c r="A1298" s="35" t="n">
        <v>260</v>
      </c>
      <c r="B1298" s="41" t="n">
        <v>46559</v>
      </c>
      <c r="C1298" s="35" t="n">
        <v>2</v>
      </c>
      <c r="D1298" s="33" t="inlineStr">
        <is>
          <t>Geography</t>
        </is>
      </c>
      <c r="E1298" s="36" t="inlineStr">
        <is>
          <t>How many official languages does South Africa have?</t>
        </is>
      </c>
      <c r="F1298" s="42" t="n">
        <v>12</v>
      </c>
      <c r="G1298" s="33" t="inlineStr">
        <is>
          <t>languages</t>
        </is>
      </c>
      <c r="H1298" s="35" t="inlineStr">
        <is>
          <t>Medium</t>
        </is>
      </c>
      <c r="I1298" s="33" t="inlineStr">
        <is>
          <t>Government of South Africa</t>
        </is>
      </c>
      <c r="J1298" s="35" t="n"/>
      <c r="K1298" s="33" t="inlineStr">
        <is>
          <t>Added Oct 2026. Spot check before this day goes live.</t>
        </is>
      </c>
      <c r="L1298" s="35">
        <f>COUNTIFS($A$2:$A$1501,A1298,$D$2:$D$1501,D1298)</f>
        <v/>
      </c>
    </row>
    <row r="1299">
      <c r="A1299" s="35" t="n">
        <v>260</v>
      </c>
      <c r="B1299" s="41" t="n">
        <v>46559</v>
      </c>
      <c r="C1299" s="35" t="n">
        <v>3</v>
      </c>
      <c r="D1299" s="33" t="inlineStr">
        <is>
          <t>Human Body</t>
        </is>
      </c>
      <c r="E1299" s="36" t="inlineStr">
        <is>
          <t>How many litres of air does an adult breathe in a day?</t>
        </is>
      </c>
      <c r="F1299" s="42" t="n">
        <v>11000</v>
      </c>
      <c r="G1299" s="33" t="inlineStr">
        <is>
          <t>litres</t>
        </is>
      </c>
      <c r="H1299" s="35" t="inlineStr">
        <is>
          <t>Medium</t>
        </is>
      </c>
      <c r="I1299" s="33" t="inlineStr">
        <is>
          <t>American Lung Association</t>
        </is>
      </c>
      <c r="J1299" s="35" t="n"/>
      <c r="K1299" s="33" t="inlineStr">
        <is>
          <t>Added Oct 2026. Spot check before this day goes live.</t>
        </is>
      </c>
      <c r="L1299" s="35">
        <f>COUNTIFS($A$2:$A$1501,A1299,$D$2:$D$1501,D1299)</f>
        <v/>
      </c>
    </row>
    <row r="1300">
      <c r="A1300" s="35" t="n">
        <v>260</v>
      </c>
      <c r="B1300" s="41" t="n">
        <v>46559</v>
      </c>
      <c r="C1300" s="35" t="n">
        <v>4</v>
      </c>
      <c r="D1300" s="33" t="inlineStr">
        <is>
          <t>Sports</t>
        </is>
      </c>
      <c r="E1300" s="36" t="inlineStr">
        <is>
          <t>How many steals did John Stockton record in his NBA career?</t>
        </is>
      </c>
      <c r="F1300" s="42" t="n">
        <v>3265</v>
      </c>
      <c r="G1300" s="33" t="inlineStr">
        <is>
          <t>steals</t>
        </is>
      </c>
      <c r="H1300" s="35" t="inlineStr">
        <is>
          <t>Hard</t>
        </is>
      </c>
      <c r="I1300" s="33" t="inlineStr">
        <is>
          <t>NBA.com</t>
        </is>
      </c>
      <c r="J1300" s="35" t="n"/>
      <c r="K1300" s="33" t="inlineStr">
        <is>
          <t>Added Oct 2026. Spot check before this day goes live.</t>
        </is>
      </c>
      <c r="L1300" s="35">
        <f>COUNTIFS($A$2:$A$1501,A1300,$D$2:$D$1501,D1300)</f>
        <v/>
      </c>
    </row>
    <row r="1301">
      <c r="A1301" s="35" t="n">
        <v>260</v>
      </c>
      <c r="B1301" s="41" t="n">
        <v>46559</v>
      </c>
      <c r="C1301" s="35" t="n">
        <v>5</v>
      </c>
      <c r="D1301" s="33" t="inlineStr">
        <is>
          <t>Distance of the Day</t>
        </is>
      </c>
      <c r="E1301" s="36" t="inlineStr">
        <is>
          <t>How far is it in a straight line from Hong Kong to Shanghai?</t>
        </is>
      </c>
      <c r="F1301" s="42" t="n">
        <v>1230</v>
      </c>
      <c r="G1301" s="33" t="inlineStr">
        <is>
          <t>km</t>
        </is>
      </c>
      <c r="H1301" s="35" t="inlineStr">
        <is>
          <t>Easy</t>
        </is>
      </c>
      <c r="I1301" s="33" t="inlineStr">
        <is>
          <t>Computed great-circle distance (city centre to city centre)</t>
        </is>
      </c>
      <c r="J1301" s="35" t="n"/>
      <c r="K1301" s="33" t="n"/>
      <c r="L1301" s="35">
        <f>COUNTIFS($A$2:$A$1501,A1301,$D$2:$D$1501,D1301)</f>
        <v/>
      </c>
    </row>
    <row r="1302">
      <c r="A1302" s="35" t="n">
        <v>261</v>
      </c>
      <c r="B1302" s="41" t="n">
        <v>46560</v>
      </c>
      <c r="C1302" s="35" t="n">
        <v>1</v>
      </c>
      <c r="D1302" s="33" t="inlineStr">
        <is>
          <t>History</t>
        </is>
      </c>
      <c r="E1302" s="36" t="inlineStr">
        <is>
          <t>How many amendments are in the US Bill of Rights?</t>
        </is>
      </c>
      <c r="F1302" s="42" t="n">
        <v>10</v>
      </c>
      <c r="G1302" s="33" t="inlineStr">
        <is>
          <t>amendments</t>
        </is>
      </c>
      <c r="H1302" s="35" t="inlineStr">
        <is>
          <t>Easy</t>
        </is>
      </c>
      <c r="I1302" s="33" t="inlineStr">
        <is>
          <t>US National Archives</t>
        </is>
      </c>
      <c r="J1302" s="35" t="n"/>
      <c r="K1302" s="33" t="inlineStr">
        <is>
          <t>Added Oct 2026. Spot check before this day goes live.</t>
        </is>
      </c>
      <c r="L1302" s="35">
        <f>COUNTIFS($A$2:$A$1501,A1302,$D$2:$D$1501,D1302)</f>
        <v/>
      </c>
    </row>
    <row r="1303">
      <c r="A1303" s="35" t="n">
        <v>261</v>
      </c>
      <c r="B1303" s="41" t="n">
        <v>46560</v>
      </c>
      <c r="C1303" s="35" t="n">
        <v>2</v>
      </c>
      <c r="D1303" s="33" t="inlineStr">
        <is>
          <t>Food and Everyday Life</t>
        </is>
      </c>
      <c r="E1303" s="36" t="inlineStr">
        <is>
          <t>What percentage of a cucumber is water?</t>
        </is>
      </c>
      <c r="F1303" s="42" t="n">
        <v>96</v>
      </c>
      <c r="G1303" s="33" t="inlineStr">
        <is>
          <t>%</t>
        </is>
      </c>
      <c r="H1303" s="35" t="inlineStr">
        <is>
          <t>Medium</t>
        </is>
      </c>
      <c r="I1303" s="33" t="inlineStr">
        <is>
          <t>USDA</t>
        </is>
      </c>
      <c r="J1303" s="35" t="n"/>
      <c r="K1303" s="33" t="inlineStr">
        <is>
          <t>Added Oct 2026. Spot check before this day goes live.</t>
        </is>
      </c>
      <c r="L1303" s="35">
        <f>COUNTIFS($A$2:$A$1501,A1303,$D$2:$D$1501,D1303)</f>
        <v/>
      </c>
    </row>
    <row r="1304">
      <c r="A1304" s="35" t="n">
        <v>261</v>
      </c>
      <c r="B1304" s="41" t="n">
        <v>46560</v>
      </c>
      <c r="C1304" s="35" t="n">
        <v>3</v>
      </c>
      <c r="D1304" s="33" t="inlineStr">
        <is>
          <t>Canada</t>
        </is>
      </c>
      <c r="E1304" s="36" t="inlineStr">
        <is>
          <t>How tall is the Vegreville pysanka, the giant Easter egg in Alberta?</t>
        </is>
      </c>
      <c r="F1304" s="42" t="n">
        <v>9.4</v>
      </c>
      <c r="G1304" s="33" t="inlineStr">
        <is>
          <t>metres</t>
        </is>
      </c>
      <c r="H1304" s="35" t="inlineStr">
        <is>
          <t>Hard</t>
        </is>
      </c>
      <c r="I1304" s="33" t="inlineStr">
        <is>
          <t>Town of Vegreville</t>
        </is>
      </c>
      <c r="J1304" s="35" t="n"/>
      <c r="K1304" s="33" t="inlineStr">
        <is>
          <t>Added Oct 2026. Spot check before this day goes live.</t>
        </is>
      </c>
      <c r="L1304" s="35">
        <f>COUNTIFS($A$2:$A$1501,A1304,$D$2:$D$1501,D1304)</f>
        <v/>
      </c>
    </row>
    <row r="1305">
      <c r="A1305" s="35" t="n">
        <v>261</v>
      </c>
      <c r="B1305" s="41" t="n">
        <v>46560</v>
      </c>
      <c r="C1305" s="35" t="n">
        <v>4</v>
      </c>
      <c r="D1305" s="33" t="inlineStr">
        <is>
          <t>Buildings and Engineering</t>
        </is>
      </c>
      <c r="E1305" s="36" t="inlineStr">
        <is>
          <t>How tall are the towers of London's Tower Bridge?</t>
        </is>
      </c>
      <c r="F1305" s="42" t="n">
        <v>65</v>
      </c>
      <c r="G1305" s="33" t="inlineStr">
        <is>
          <t>metres</t>
        </is>
      </c>
      <c r="H1305" s="35" t="inlineStr">
        <is>
          <t>Hard</t>
        </is>
      </c>
      <c r="I1305" s="33" t="inlineStr">
        <is>
          <t>Tower Bridge</t>
        </is>
      </c>
      <c r="J1305" s="35" t="n"/>
      <c r="K1305" s="33" t="inlineStr">
        <is>
          <t>Added Oct 2026. Spot check before this day goes live.</t>
        </is>
      </c>
      <c r="L1305" s="35">
        <f>COUNTIFS($A$2:$A$1501,A1305,$D$2:$D$1501,D1305)</f>
        <v/>
      </c>
    </row>
    <row r="1306">
      <c r="A1306" s="35" t="n">
        <v>261</v>
      </c>
      <c r="B1306" s="41" t="n">
        <v>46560</v>
      </c>
      <c r="C1306" s="35" t="n">
        <v>5</v>
      </c>
      <c r="D1306" s="33" t="inlineStr">
        <is>
          <t>Distance of the Day</t>
        </is>
      </c>
      <c r="E1306" s="36" t="inlineStr">
        <is>
          <t>How far is it in a straight line from Regina to Moscow?</t>
        </is>
      </c>
      <c r="F1306" s="42" t="n">
        <v>7700</v>
      </c>
      <c r="G1306" s="33" t="inlineStr">
        <is>
          <t>km</t>
        </is>
      </c>
      <c r="H1306" s="35" t="inlineStr">
        <is>
          <t>Medium</t>
        </is>
      </c>
      <c r="I1306" s="33" t="inlineStr">
        <is>
          <t>Computed great-circle distance (city centre to city centre)</t>
        </is>
      </c>
      <c r="J1306" s="35" t="n"/>
      <c r="K1306" s="33" t="n"/>
      <c r="L1306" s="35">
        <f>COUNTIFS($A$2:$A$1501,A1306,$D$2:$D$1501,D1306)</f>
        <v/>
      </c>
    </row>
    <row r="1307">
      <c r="A1307" s="35" t="n">
        <v>262</v>
      </c>
      <c r="B1307" s="41" t="n">
        <v>46561</v>
      </c>
      <c r="C1307" s="35" t="n">
        <v>1</v>
      </c>
      <c r="D1307" s="33" t="inlineStr">
        <is>
          <t>Animals and Nature</t>
        </is>
      </c>
      <c r="E1307" s="36" t="inlineStr">
        <is>
          <t>How many bees live in a healthy hive in summer?</t>
        </is>
      </c>
      <c r="F1307" s="42" t="n">
        <v>60000</v>
      </c>
      <c r="G1307" s="33" t="inlineStr">
        <is>
          <t>bees</t>
        </is>
      </c>
      <c r="H1307" s="35" t="inlineStr">
        <is>
          <t>Medium</t>
        </is>
      </c>
      <c r="I1307" s="33" t="inlineStr">
        <is>
          <t>USDA</t>
        </is>
      </c>
      <c r="J1307" s="35" t="n"/>
      <c r="K1307" s="33" t="inlineStr">
        <is>
          <t>Added Oct 2026. Spot check before this day goes live.</t>
        </is>
      </c>
      <c r="L1307" s="35">
        <f>COUNTIFS($A$2:$A$1501,A1307,$D$2:$D$1501,D1307)</f>
        <v/>
      </c>
    </row>
    <row r="1308">
      <c r="A1308" s="35" t="n">
        <v>262</v>
      </c>
      <c r="B1308" s="41" t="n">
        <v>46561</v>
      </c>
      <c r="C1308" s="35" t="n">
        <v>2</v>
      </c>
      <c r="D1308" s="33" t="inlineStr">
        <is>
          <t>Movies, Music and Games</t>
        </is>
      </c>
      <c r="E1308" s="36" t="inlineStr">
        <is>
          <t>How many years did Michelangelo spend painting the Sistine Chapel ceiling?</t>
        </is>
      </c>
      <c r="F1308" s="42" t="n">
        <v>4</v>
      </c>
      <c r="G1308" s="33" t="inlineStr">
        <is>
          <t>years</t>
        </is>
      </c>
      <c r="H1308" s="35" t="inlineStr">
        <is>
          <t>Medium</t>
        </is>
      </c>
      <c r="I1308" s="33" t="inlineStr">
        <is>
          <t>Vatican Museums</t>
        </is>
      </c>
      <c r="J1308" s="35" t="n"/>
      <c r="K1308" s="33" t="inlineStr">
        <is>
          <t>Added Oct 2026. Spot check before this day goes live.</t>
        </is>
      </c>
      <c r="L1308" s="35">
        <f>COUNTIFS($A$2:$A$1501,A1308,$D$2:$D$1501,D1308)</f>
        <v/>
      </c>
    </row>
    <row r="1309">
      <c r="A1309" s="35" t="n">
        <v>262</v>
      </c>
      <c r="B1309" s="41" t="n">
        <v>46561</v>
      </c>
      <c r="C1309" s="35" t="n">
        <v>3</v>
      </c>
      <c r="D1309" s="33" t="inlineStr">
        <is>
          <t>Geography</t>
        </is>
      </c>
      <c r="E1309" s="36" t="inlineStr">
        <is>
          <t>How many islands make up the Maldives?</t>
        </is>
      </c>
      <c r="F1309" s="42" t="n">
        <v>1192</v>
      </c>
      <c r="G1309" s="33" t="inlineStr">
        <is>
          <t>islands</t>
        </is>
      </c>
      <c r="H1309" s="35" t="inlineStr">
        <is>
          <t>Hard</t>
        </is>
      </c>
      <c r="I1309" s="33" t="inlineStr">
        <is>
          <t>Government of Maldives</t>
        </is>
      </c>
      <c r="J1309" s="35" t="n"/>
      <c r="K1309" s="33" t="inlineStr">
        <is>
          <t>Added Oct 2026. Spot check before this day goes live.</t>
        </is>
      </c>
      <c r="L1309" s="35">
        <f>COUNTIFS($A$2:$A$1501,A1309,$D$2:$D$1501,D1309)</f>
        <v/>
      </c>
    </row>
    <row r="1310">
      <c r="A1310" s="35" t="n">
        <v>262</v>
      </c>
      <c r="B1310" s="41" t="n">
        <v>46561</v>
      </c>
      <c r="C1310" s="35" t="n">
        <v>4</v>
      </c>
      <c r="D1310" s="33" t="inlineStr">
        <is>
          <t>Space and Science</t>
        </is>
      </c>
      <c r="E1310" s="36" t="inlineStr">
        <is>
          <t>How hot does water boil at the top of Mount Everest?</t>
        </is>
      </c>
      <c r="F1310" s="42" t="n">
        <v>71</v>
      </c>
      <c r="G1310" s="33" t="inlineStr">
        <is>
          <t>°C</t>
        </is>
      </c>
      <c r="H1310" s="35" t="inlineStr">
        <is>
          <t>Hard</t>
        </is>
      </c>
      <c r="I1310" s="33" t="inlineStr">
        <is>
          <t>Britannica</t>
        </is>
      </c>
      <c r="J1310" s="35" t="n"/>
      <c r="K1310" s="33" t="inlineStr">
        <is>
          <t>Added Oct 2026. Spot check before this day goes live.</t>
        </is>
      </c>
      <c r="L1310" s="35">
        <f>COUNTIFS($A$2:$A$1501,A1310,$D$2:$D$1501,D1310)</f>
        <v/>
      </c>
    </row>
    <row r="1311">
      <c r="A1311" s="35" t="n">
        <v>262</v>
      </c>
      <c r="B1311" s="41" t="n">
        <v>46561</v>
      </c>
      <c r="C1311" s="35" t="n">
        <v>5</v>
      </c>
      <c r="D1311" s="33" t="inlineStr">
        <is>
          <t>Distance of the Day</t>
        </is>
      </c>
      <c r="E1311" s="36" t="inlineStr">
        <is>
          <t>How far is it in a straight line from Kelowna to Vienna?</t>
        </is>
      </c>
      <c r="F1311" s="42" t="n">
        <v>8320</v>
      </c>
      <c r="G1311" s="33" t="inlineStr">
        <is>
          <t>km</t>
        </is>
      </c>
      <c r="H1311" s="35" t="inlineStr">
        <is>
          <t>Hard</t>
        </is>
      </c>
      <c r="I1311" s="33" t="inlineStr">
        <is>
          <t>Computed great-circle distance (city centre to city centre)</t>
        </is>
      </c>
      <c r="J1311" s="35" t="n"/>
      <c r="K1311" s="33" t="n"/>
      <c r="L1311" s="35">
        <f>COUNTIFS($A$2:$A$1501,A1311,$D$2:$D$1501,D1311)</f>
        <v/>
      </c>
    </row>
    <row r="1312">
      <c r="A1312" s="35" t="n">
        <v>263</v>
      </c>
      <c r="B1312" s="41" t="n">
        <v>46562</v>
      </c>
      <c r="C1312" s="35" t="n">
        <v>1</v>
      </c>
      <c r="D1312" s="33" t="inlineStr">
        <is>
          <t>Food and Everyday Life</t>
        </is>
      </c>
      <c r="E1312" s="36" t="inlineStr">
        <is>
          <t>How many weeks are in a year?</t>
        </is>
      </c>
      <c r="F1312" s="42" t="n">
        <v>52</v>
      </c>
      <c r="G1312" s="33" t="inlineStr">
        <is>
          <t>weeks</t>
        </is>
      </c>
      <c r="H1312" s="35" t="inlineStr">
        <is>
          <t>Easy</t>
        </is>
      </c>
      <c r="I1312" s="33" t="inlineStr">
        <is>
          <t>National Research Council Canada</t>
        </is>
      </c>
      <c r="J1312" s="35" t="n"/>
      <c r="K1312" s="33" t="inlineStr">
        <is>
          <t>Added Oct 2026. Spot check before this day goes live.</t>
        </is>
      </c>
      <c r="L1312" s="35">
        <f>COUNTIFS($A$2:$A$1501,A1312,$D$2:$D$1501,D1312)</f>
        <v/>
      </c>
    </row>
    <row r="1313">
      <c r="A1313" s="35" t="n">
        <v>263</v>
      </c>
      <c r="B1313" s="41" t="n">
        <v>46562</v>
      </c>
      <c r="C1313" s="35" t="n">
        <v>2</v>
      </c>
      <c r="D1313" s="33" t="inlineStr">
        <is>
          <t>History</t>
        </is>
      </c>
      <c r="E1313" s="36" t="inlineStr">
        <is>
          <t>How many years did Magellan's expedition take to sail around the world?</t>
        </is>
      </c>
      <c r="F1313" s="42" t="n">
        <v>3</v>
      </c>
      <c r="G1313" s="33" t="inlineStr">
        <is>
          <t>years</t>
        </is>
      </c>
      <c r="H1313" s="35" t="inlineStr">
        <is>
          <t>Medium</t>
        </is>
      </c>
      <c r="I1313" s="33" t="inlineStr">
        <is>
          <t>Britannica</t>
        </is>
      </c>
      <c r="J1313" s="35" t="n"/>
      <c r="K1313" s="33" t="inlineStr">
        <is>
          <t>Added Oct 2026. Spot check before this day goes live.</t>
        </is>
      </c>
      <c r="L1313" s="35">
        <f>COUNTIFS($A$2:$A$1501,A1313,$D$2:$D$1501,D1313)</f>
        <v/>
      </c>
    </row>
    <row r="1314">
      <c r="A1314" s="35" t="n">
        <v>263</v>
      </c>
      <c r="B1314" s="41" t="n">
        <v>46562</v>
      </c>
      <c r="C1314" s="35" t="n">
        <v>3</v>
      </c>
      <c r="D1314" s="33" t="inlineStr">
        <is>
          <t>Human Body</t>
        </is>
      </c>
      <c r="E1314" s="36" t="inlineStr">
        <is>
          <t>How many hours a night do adults spend in REM sleep?</t>
        </is>
      </c>
      <c r="F1314" s="42" t="n">
        <v>2</v>
      </c>
      <c r="G1314" s="33" t="inlineStr">
        <is>
          <t>hours</t>
        </is>
      </c>
      <c r="H1314" s="35" t="inlineStr">
        <is>
          <t>Medium</t>
        </is>
      </c>
      <c r="I1314" s="33" t="inlineStr">
        <is>
          <t>Sleep Foundation</t>
        </is>
      </c>
      <c r="J1314" s="35" t="n"/>
      <c r="K1314" s="33" t="inlineStr">
        <is>
          <t>Added Oct 2026. Spot check before this day goes live.</t>
        </is>
      </c>
      <c r="L1314" s="35">
        <f>COUNTIFS($A$2:$A$1501,A1314,$D$2:$D$1501,D1314)</f>
        <v/>
      </c>
    </row>
    <row r="1315">
      <c r="A1315" s="35" t="n">
        <v>263</v>
      </c>
      <c r="B1315" s="41" t="n">
        <v>46562</v>
      </c>
      <c r="C1315" s="35" t="n">
        <v>4</v>
      </c>
      <c r="D1315" s="33" t="inlineStr">
        <is>
          <t>Buildings and Engineering</t>
        </is>
      </c>
      <c r="E1315" s="36" t="inlineStr">
        <is>
          <t>How many days did it take to build the Eiffel Tower?</t>
        </is>
      </c>
      <c r="F1315" s="42" t="n">
        <v>793</v>
      </c>
      <c r="G1315" s="33" t="inlineStr">
        <is>
          <t>days</t>
        </is>
      </c>
      <c r="H1315" s="35" t="inlineStr">
        <is>
          <t>Hard</t>
        </is>
      </c>
      <c r="I1315" s="33" t="inlineStr">
        <is>
          <t>Société d'Exploitation de la Tour Eiffel</t>
        </is>
      </c>
      <c r="J1315" s="35" t="n"/>
      <c r="K1315" s="33" t="inlineStr">
        <is>
          <t>Added Oct 2026. Spot check before this day goes live.</t>
        </is>
      </c>
      <c r="L1315" s="35">
        <f>COUNTIFS($A$2:$A$1501,A1315,$D$2:$D$1501,D1315)</f>
        <v/>
      </c>
    </row>
    <row r="1316">
      <c r="A1316" s="35" t="n">
        <v>263</v>
      </c>
      <c r="B1316" s="41" t="n">
        <v>46562</v>
      </c>
      <c r="C1316" s="35" t="n">
        <v>5</v>
      </c>
      <c r="D1316" s="33" t="inlineStr">
        <is>
          <t>Distance of the Day</t>
        </is>
      </c>
      <c r="E1316" s="36" t="inlineStr">
        <is>
          <t>How far is it in a straight line from Miami to Dublin?</t>
        </is>
      </c>
      <c r="F1316" s="42" t="n">
        <v>6690</v>
      </c>
      <c r="G1316" s="33" t="inlineStr">
        <is>
          <t>km</t>
        </is>
      </c>
      <c r="H1316" s="35" t="inlineStr">
        <is>
          <t>Medium</t>
        </is>
      </c>
      <c r="I1316" s="33" t="inlineStr">
        <is>
          <t>Computed great-circle distance (city centre to city centre)</t>
        </is>
      </c>
      <c r="J1316" s="35" t="n"/>
      <c r="K1316" s="33" t="n"/>
      <c r="L1316" s="35">
        <f>COUNTIFS($A$2:$A$1501,A1316,$D$2:$D$1501,D1316)</f>
        <v/>
      </c>
    </row>
    <row r="1317">
      <c r="A1317" s="35" t="n">
        <v>264</v>
      </c>
      <c r="B1317" s="41" t="n">
        <v>46563</v>
      </c>
      <c r="C1317" s="35" t="n">
        <v>1</v>
      </c>
      <c r="D1317" s="33" t="inlineStr">
        <is>
          <t>Animals and Nature</t>
        </is>
      </c>
      <c r="E1317" s="36" t="inlineStr">
        <is>
          <t>How many legs does a crab have, counting its claws?</t>
        </is>
      </c>
      <c r="F1317" s="42" t="n">
        <v>10</v>
      </c>
      <c r="G1317" s="33" t="inlineStr">
        <is>
          <t>legs</t>
        </is>
      </c>
      <c r="H1317" s="35" t="inlineStr">
        <is>
          <t>Easy</t>
        </is>
      </c>
      <c r="I1317" s="33" t="inlineStr">
        <is>
          <t>NOAA Fisheries</t>
        </is>
      </c>
      <c r="J1317" s="35" t="n"/>
      <c r="K1317" s="33" t="inlineStr">
        <is>
          <t>Added Oct 2026. Spot check before this day goes live.</t>
        </is>
      </c>
      <c r="L1317" s="35">
        <f>COUNTIFS($A$2:$A$1501,A1317,$D$2:$D$1501,D1317)</f>
        <v/>
      </c>
    </row>
    <row r="1318">
      <c r="A1318" s="35" t="n">
        <v>264</v>
      </c>
      <c r="B1318" s="41" t="n">
        <v>46563</v>
      </c>
      <c r="C1318" s="35" t="n">
        <v>2</v>
      </c>
      <c r="D1318" s="33" t="inlineStr">
        <is>
          <t>Movies, Music and Games</t>
        </is>
      </c>
      <c r="E1318" s="36" t="inlineStr">
        <is>
          <t>How long is The Beatles' Hey Jude?</t>
        </is>
      </c>
      <c r="F1318" s="42" t="n">
        <v>431</v>
      </c>
      <c r="G1318" s="33" t="inlineStr">
        <is>
          <t>seconds</t>
        </is>
      </c>
      <c r="H1318" s="35" t="inlineStr">
        <is>
          <t>Medium</t>
        </is>
      </c>
      <c r="I1318" s="33" t="inlineStr">
        <is>
          <t>Apple Records</t>
        </is>
      </c>
      <c r="J1318" s="35" t="n"/>
      <c r="K1318" s="33" t="inlineStr">
        <is>
          <t>Added Oct 2026. Spot check before this day goes live.</t>
        </is>
      </c>
      <c r="L1318" s="35">
        <f>COUNTIFS($A$2:$A$1501,A1318,$D$2:$D$1501,D1318)</f>
        <v/>
      </c>
    </row>
    <row r="1319">
      <c r="A1319" s="35" t="n">
        <v>264</v>
      </c>
      <c r="B1319" s="41" t="n">
        <v>46563</v>
      </c>
      <c r="C1319" s="35" t="n">
        <v>3</v>
      </c>
      <c r="D1319" s="33" t="inlineStr">
        <is>
          <t>Canada</t>
        </is>
      </c>
      <c r="E1319" s="36" t="inlineStr">
        <is>
          <t>How many tonnes of water flow into and out of the Bay of Fundy with each tide?</t>
        </is>
      </c>
      <c r="F1319" s="42" t="n">
        <v>100</v>
      </c>
      <c r="G1319" s="33" t="inlineStr">
        <is>
          <t>billion tonnes</t>
        </is>
      </c>
      <c r="H1319" s="35" t="inlineStr">
        <is>
          <t>Hard</t>
        </is>
      </c>
      <c r="I1319" s="33" t="inlineStr">
        <is>
          <t>Bay of Fundy Tourism</t>
        </is>
      </c>
      <c r="J1319" s="35" t="n"/>
      <c r="K1319" s="33" t="inlineStr">
        <is>
          <t>Added Oct 2026. Spot check before this day goes live.</t>
        </is>
      </c>
      <c r="L1319" s="35">
        <f>COUNTIFS($A$2:$A$1501,A1319,$D$2:$D$1501,D1319)</f>
        <v/>
      </c>
    </row>
    <row r="1320">
      <c r="A1320" s="35" t="n">
        <v>264</v>
      </c>
      <c r="B1320" s="41" t="n">
        <v>46563</v>
      </c>
      <c r="C1320" s="35" t="n">
        <v>4</v>
      </c>
      <c r="D1320" s="33" t="inlineStr">
        <is>
          <t>Sports</t>
        </is>
      </c>
      <c r="E1320" s="36" t="inlineStr">
        <is>
          <t>How many goals did Brett Hull score in the 1990-91 NHL season?</t>
        </is>
      </c>
      <c r="F1320" s="42" t="n">
        <v>86</v>
      </c>
      <c r="G1320" s="33" t="inlineStr">
        <is>
          <t>goals</t>
        </is>
      </c>
      <c r="H1320" s="35" t="inlineStr">
        <is>
          <t>Hard</t>
        </is>
      </c>
      <c r="I1320" s="33" t="inlineStr">
        <is>
          <t>NHL.com</t>
        </is>
      </c>
      <c r="J1320" s="35" t="n"/>
      <c r="K1320" s="33" t="inlineStr">
        <is>
          <t>Added Oct 2026. Spot check before this day goes live.</t>
        </is>
      </c>
      <c r="L1320" s="35">
        <f>COUNTIFS($A$2:$A$1501,A1320,$D$2:$D$1501,D1320)</f>
        <v/>
      </c>
    </row>
    <row r="1321">
      <c r="A1321" s="35" t="n">
        <v>264</v>
      </c>
      <c r="B1321" s="41" t="n">
        <v>46563</v>
      </c>
      <c r="C1321" s="35" t="n">
        <v>5</v>
      </c>
      <c r="D1321" s="33" t="inlineStr">
        <is>
          <t>Distance of the Day</t>
        </is>
      </c>
      <c r="E1321" s="36" t="inlineStr">
        <is>
          <t>How far is it in a straight line from Quebec City to Boston?</t>
        </is>
      </c>
      <c r="F1321" s="42" t="n">
        <v>500</v>
      </c>
      <c r="G1321" s="33" t="inlineStr">
        <is>
          <t>km</t>
        </is>
      </c>
      <c r="H1321" s="35" t="inlineStr">
        <is>
          <t>Easy</t>
        </is>
      </c>
      <c r="I1321" s="33" t="inlineStr">
        <is>
          <t>Computed great-circle distance (city centre to city centre)</t>
        </is>
      </c>
      <c r="J1321" s="35" t="n"/>
      <c r="K1321" s="33" t="n"/>
      <c r="L1321" s="35">
        <f>COUNTIFS($A$2:$A$1501,A1321,$D$2:$D$1501,D1321)</f>
        <v/>
      </c>
    </row>
    <row r="1322">
      <c r="A1322" s="35" t="n">
        <v>265</v>
      </c>
      <c r="B1322" s="41" t="n">
        <v>46564</v>
      </c>
      <c r="C1322" s="35" t="n">
        <v>1</v>
      </c>
      <c r="D1322" s="33" t="inlineStr">
        <is>
          <t>Food and Everyday Life</t>
        </is>
      </c>
      <c r="E1322" s="36" t="inlineStr">
        <is>
          <t>How many calories are in one gram of protein?</t>
        </is>
      </c>
      <c r="F1322" s="42" t="n">
        <v>4</v>
      </c>
      <c r="G1322" s="33" t="inlineStr">
        <is>
          <t>calories</t>
        </is>
      </c>
      <c r="H1322" s="35" t="inlineStr">
        <is>
          <t>Medium</t>
        </is>
      </c>
      <c r="I1322" s="33" t="inlineStr">
        <is>
          <t>Health Canada</t>
        </is>
      </c>
      <c r="J1322" s="35" t="n"/>
      <c r="K1322" s="33" t="inlineStr">
        <is>
          <t>Added Oct 2026. Spot check before this day goes live.</t>
        </is>
      </c>
      <c r="L1322" s="35">
        <f>COUNTIFS($A$2:$A$1501,A1322,$D$2:$D$1501,D1322)</f>
        <v/>
      </c>
    </row>
    <row r="1323">
      <c r="A1323" s="35" t="n">
        <v>265</v>
      </c>
      <c r="B1323" s="41" t="n">
        <v>46564</v>
      </c>
      <c r="C1323" s="35" t="n">
        <v>2</v>
      </c>
      <c r="D1323" s="33" t="inlineStr">
        <is>
          <t>Human Body</t>
        </is>
      </c>
      <c r="E1323" s="36" t="inlineStr">
        <is>
          <t>How many hours a day does a newborn baby sleep?</t>
        </is>
      </c>
      <c r="F1323" s="42" t="n">
        <v>16</v>
      </c>
      <c r="G1323" s="33" t="inlineStr">
        <is>
          <t>hours</t>
        </is>
      </c>
      <c r="H1323" s="35" t="inlineStr">
        <is>
          <t>Medium</t>
        </is>
      </c>
      <c r="I1323" s="33" t="inlineStr">
        <is>
          <t>Canadian Paediatric Society</t>
        </is>
      </c>
      <c r="J1323" s="35" t="n"/>
      <c r="K1323" s="33" t="inlineStr">
        <is>
          <t>Added Oct 2026. Spot check before this day goes live.</t>
        </is>
      </c>
      <c r="L1323" s="35">
        <f>COUNTIFS($A$2:$A$1501,A1323,$D$2:$D$1501,D1323)</f>
        <v/>
      </c>
    </row>
    <row r="1324">
      <c r="A1324" s="35" t="n">
        <v>265</v>
      </c>
      <c r="B1324" s="41" t="n">
        <v>46564</v>
      </c>
      <c r="C1324" s="35" t="n">
        <v>3</v>
      </c>
      <c r="D1324" s="33" t="inlineStr">
        <is>
          <t>Buildings and Engineering</t>
        </is>
      </c>
      <c r="E1324" s="36" t="inlineStr">
        <is>
          <t>How long is the Millau Viaduct in France?</t>
        </is>
      </c>
      <c r="F1324" s="42" t="n">
        <v>2460</v>
      </c>
      <c r="G1324" s="33" t="inlineStr">
        <is>
          <t>metres</t>
        </is>
      </c>
      <c r="H1324" s="35" t="inlineStr">
        <is>
          <t>Hard</t>
        </is>
      </c>
      <c r="I1324" s="33" t="inlineStr">
        <is>
          <t>Viaduc de Millau</t>
        </is>
      </c>
      <c r="J1324" s="35" t="n"/>
      <c r="K1324" s="33" t="inlineStr">
        <is>
          <t>Added Oct 2026. Spot check before this day goes live.</t>
        </is>
      </c>
      <c r="L1324" s="35">
        <f>COUNTIFS($A$2:$A$1501,A1324,$D$2:$D$1501,D1324)</f>
        <v/>
      </c>
    </row>
    <row r="1325">
      <c r="A1325" s="35" t="n">
        <v>265</v>
      </c>
      <c r="B1325" s="41" t="n">
        <v>46564</v>
      </c>
      <c r="C1325" s="35" t="n">
        <v>4</v>
      </c>
      <c r="D1325" s="33" t="inlineStr">
        <is>
          <t>Geography</t>
        </is>
      </c>
      <c r="E1325" s="36" t="inlineStr">
        <is>
          <t>How tall is Mount Vesuvius?</t>
        </is>
      </c>
      <c r="F1325" s="42" t="n">
        <v>1281</v>
      </c>
      <c r="G1325" s="33" t="inlineStr">
        <is>
          <t>metres</t>
        </is>
      </c>
      <c r="H1325" s="35" t="inlineStr">
        <is>
          <t>Hard</t>
        </is>
      </c>
      <c r="I1325" s="33" t="inlineStr">
        <is>
          <t>Britannica</t>
        </is>
      </c>
      <c r="J1325" s="35" t="n"/>
      <c r="K1325" s="33" t="inlineStr">
        <is>
          <t>Added Oct 2026. Spot check before this day goes live.</t>
        </is>
      </c>
      <c r="L1325" s="35">
        <f>COUNTIFS($A$2:$A$1501,A1325,$D$2:$D$1501,D1325)</f>
        <v/>
      </c>
    </row>
    <row r="1326">
      <c r="A1326" s="35" t="n">
        <v>265</v>
      </c>
      <c r="B1326" s="41" t="n">
        <v>46564</v>
      </c>
      <c r="C1326" s="35" t="n">
        <v>5</v>
      </c>
      <c r="D1326" s="33" t="inlineStr">
        <is>
          <t>Distance of the Day</t>
        </is>
      </c>
      <c r="E1326" s="36" t="inlineStr">
        <is>
          <t>How far is it in a straight line from St. John's to Delhi?</t>
        </is>
      </c>
      <c r="F1326" s="42" t="n">
        <v>10180</v>
      </c>
      <c r="G1326" s="33" t="inlineStr">
        <is>
          <t>km</t>
        </is>
      </c>
      <c r="H1326" s="35" t="inlineStr">
        <is>
          <t>Hard</t>
        </is>
      </c>
      <c r="I1326" s="33" t="inlineStr">
        <is>
          <t>Computed great-circle distance (city centre to city centre)</t>
        </is>
      </c>
      <c r="J1326" s="35" t="n"/>
      <c r="K1326" s="33" t="n"/>
      <c r="L1326" s="35">
        <f>COUNTIFS($A$2:$A$1501,A1326,$D$2:$D$1501,D1326)</f>
        <v/>
      </c>
    </row>
    <row r="1327">
      <c r="A1327" s="35" t="n">
        <v>266</v>
      </c>
      <c r="B1327" s="41" t="n">
        <v>46565</v>
      </c>
      <c r="C1327" s="35" t="n">
        <v>1</v>
      </c>
      <c r="D1327" s="33" t="inlineStr">
        <is>
          <t>Space and Science</t>
        </is>
      </c>
      <c r="E1327" s="36" t="inlineStr">
        <is>
          <t>How high up is the Kármán line, the common boundary of space?</t>
        </is>
      </c>
      <c r="F1327" s="42" t="n">
        <v>100</v>
      </c>
      <c r="G1327" s="33" t="inlineStr">
        <is>
          <t>km</t>
        </is>
      </c>
      <c r="H1327" s="35" t="inlineStr">
        <is>
          <t>Easy</t>
        </is>
      </c>
      <c r="I1327" s="33" t="inlineStr">
        <is>
          <t>FAI</t>
        </is>
      </c>
      <c r="J1327" s="35" t="n"/>
      <c r="K1327" s="33" t="inlineStr">
        <is>
          <t>Added Oct 2026. Spot check before this day goes live.</t>
        </is>
      </c>
      <c r="L1327" s="35">
        <f>COUNTIFS($A$2:$A$1501,A1327,$D$2:$D$1501,D1327)</f>
        <v/>
      </c>
    </row>
    <row r="1328">
      <c r="A1328" s="35" t="n">
        <v>266</v>
      </c>
      <c r="B1328" s="41" t="n">
        <v>46565</v>
      </c>
      <c r="C1328" s="35" t="n">
        <v>2</v>
      </c>
      <c r="D1328" s="33" t="inlineStr">
        <is>
          <t>Animals and Nature</t>
        </is>
      </c>
      <c r="E1328" s="36" t="inlineStr">
        <is>
          <t>How many eggs does a sea turtle lay in one nest?</t>
        </is>
      </c>
      <c r="F1328" s="42" t="n">
        <v>110</v>
      </c>
      <c r="G1328" s="33" t="inlineStr">
        <is>
          <t>eggs</t>
        </is>
      </c>
      <c r="H1328" s="35" t="inlineStr">
        <is>
          <t>Medium</t>
        </is>
      </c>
      <c r="I1328" s="33" t="inlineStr">
        <is>
          <t>Sea Turtle Conservancy</t>
        </is>
      </c>
      <c r="J1328" s="35" t="n"/>
      <c r="K1328" s="33" t="inlineStr">
        <is>
          <t>Added Oct 2026. Spot check before this day goes live.</t>
        </is>
      </c>
      <c r="L1328" s="35">
        <f>COUNTIFS($A$2:$A$1501,A1328,$D$2:$D$1501,D1328)</f>
        <v/>
      </c>
    </row>
    <row r="1329">
      <c r="A1329" s="35" t="n">
        <v>266</v>
      </c>
      <c r="B1329" s="41" t="n">
        <v>46565</v>
      </c>
      <c r="C1329" s="35" t="n">
        <v>3</v>
      </c>
      <c r="D1329" s="33" t="inlineStr">
        <is>
          <t>History</t>
        </is>
      </c>
      <c r="E1329" s="36" t="inlineStr">
        <is>
          <t>How many years was Franklin D. Roosevelt US president?</t>
        </is>
      </c>
      <c r="F1329" s="42" t="n">
        <v>12</v>
      </c>
      <c r="G1329" s="33" t="inlineStr">
        <is>
          <t>years</t>
        </is>
      </c>
      <c r="H1329" s="35" t="inlineStr">
        <is>
          <t>Medium</t>
        </is>
      </c>
      <c r="I1329" s="33" t="inlineStr">
        <is>
          <t>White House</t>
        </is>
      </c>
      <c r="J1329" s="35" t="n"/>
      <c r="K1329" s="33" t="inlineStr">
        <is>
          <t>Added Oct 2026. Spot check before this day goes live.</t>
        </is>
      </c>
      <c r="L1329" s="35">
        <f>COUNTIFS($A$2:$A$1501,A1329,$D$2:$D$1501,D1329)</f>
        <v/>
      </c>
    </row>
    <row r="1330">
      <c r="A1330" s="35" t="n">
        <v>266</v>
      </c>
      <c r="B1330" s="41" t="n">
        <v>46565</v>
      </c>
      <c r="C1330" s="35" t="n">
        <v>4</v>
      </c>
      <c r="D1330" s="33" t="inlineStr">
        <is>
          <t>Sports</t>
        </is>
      </c>
      <c r="E1330" s="36" t="inlineStr">
        <is>
          <t>How many goals did Mario Lemieux score in the 1988-89 NHL season?</t>
        </is>
      </c>
      <c r="F1330" s="42" t="n">
        <v>85</v>
      </c>
      <c r="G1330" s="33" t="inlineStr">
        <is>
          <t>goals</t>
        </is>
      </c>
      <c r="H1330" s="35" t="inlineStr">
        <is>
          <t>Hard</t>
        </is>
      </c>
      <c r="I1330" s="33" t="inlineStr">
        <is>
          <t>NHL.com</t>
        </is>
      </c>
      <c r="J1330" s="35" t="n"/>
      <c r="K1330" s="33" t="inlineStr">
        <is>
          <t>Added Oct 2026. Spot check before this day goes live.</t>
        </is>
      </c>
      <c r="L1330" s="35">
        <f>COUNTIFS($A$2:$A$1501,A1330,$D$2:$D$1501,D1330)</f>
        <v/>
      </c>
    </row>
    <row r="1331">
      <c r="A1331" s="35" t="n">
        <v>266</v>
      </c>
      <c r="B1331" s="41" t="n">
        <v>46565</v>
      </c>
      <c r="C1331" s="35" t="n">
        <v>5</v>
      </c>
      <c r="D1331" s="33" t="inlineStr">
        <is>
          <t>Distance of the Day</t>
        </is>
      </c>
      <c r="E1331" s="36" t="inlineStr">
        <is>
          <t>How far is it in a straight line from Saskatoon to Mexico City?</t>
        </is>
      </c>
      <c r="F1331" s="42" t="n">
        <v>3690</v>
      </c>
      <c r="G1331" s="33" t="inlineStr">
        <is>
          <t>km</t>
        </is>
      </c>
      <c r="H1331" s="35" t="inlineStr">
        <is>
          <t>Medium</t>
        </is>
      </c>
      <c r="I1331" s="33" t="inlineStr">
        <is>
          <t>Computed great-circle distance (city centre to city centre)</t>
        </is>
      </c>
      <c r="J1331" s="35" t="n"/>
      <c r="K1331" s="33" t="n"/>
      <c r="L1331" s="35">
        <f>COUNTIFS($A$2:$A$1501,A1331,$D$2:$D$1501,D1331)</f>
        <v/>
      </c>
    </row>
    <row r="1332">
      <c r="A1332" s="35" t="n">
        <v>267</v>
      </c>
      <c r="B1332" s="41" t="n">
        <v>46566</v>
      </c>
      <c r="C1332" s="35" t="n">
        <v>1</v>
      </c>
      <c r="D1332" s="33" t="inlineStr">
        <is>
          <t>Movies, Music and Games</t>
        </is>
      </c>
      <c r="E1332" s="36" t="inlineStr">
        <is>
          <t>How many films are in the Star Wars Skywalker saga?</t>
        </is>
      </c>
      <c r="F1332" s="42" t="n">
        <v>9</v>
      </c>
      <c r="G1332" s="33" t="inlineStr">
        <is>
          <t>films</t>
        </is>
      </c>
      <c r="H1332" s="35" t="inlineStr">
        <is>
          <t>Easy</t>
        </is>
      </c>
      <c r="I1332" s="33" t="inlineStr">
        <is>
          <t>Lucasfilm</t>
        </is>
      </c>
      <c r="J1332" s="35" t="n"/>
      <c r="K1332" s="33" t="inlineStr">
        <is>
          <t>Added Oct 2026. Spot check before this day goes live.</t>
        </is>
      </c>
      <c r="L1332" s="35">
        <f>COUNTIFS($A$2:$A$1501,A1332,$D$2:$D$1501,D1332)</f>
        <v/>
      </c>
    </row>
    <row r="1333">
      <c r="A1333" s="35" t="n">
        <v>267</v>
      </c>
      <c r="B1333" s="41" t="n">
        <v>46566</v>
      </c>
      <c r="C1333" s="35" t="n">
        <v>2</v>
      </c>
      <c r="D1333" s="33" t="inlineStr">
        <is>
          <t>Geography</t>
        </is>
      </c>
      <c r="E1333" s="36" t="inlineStr">
        <is>
          <t>How tall is Ben Nevis, the highest mountain in the UK?</t>
        </is>
      </c>
      <c r="F1333" s="42" t="n">
        <v>1345</v>
      </c>
      <c r="G1333" s="33" t="inlineStr">
        <is>
          <t>metres</t>
        </is>
      </c>
      <c r="H1333" s="35" t="inlineStr">
        <is>
          <t>Medium</t>
        </is>
      </c>
      <c r="I1333" s="33" t="inlineStr">
        <is>
          <t>Ordnance Survey</t>
        </is>
      </c>
      <c r="J1333" s="35" t="n"/>
      <c r="K1333" s="33" t="inlineStr">
        <is>
          <t>Added Oct 2026. Spot check before this day goes live.</t>
        </is>
      </c>
      <c r="L1333" s="35">
        <f>COUNTIFS($A$2:$A$1501,A1333,$D$2:$D$1501,D1333)</f>
        <v/>
      </c>
    </row>
    <row r="1334">
      <c r="A1334" s="35" t="n">
        <v>267</v>
      </c>
      <c r="B1334" s="41" t="n">
        <v>46566</v>
      </c>
      <c r="C1334" s="35" t="n">
        <v>3</v>
      </c>
      <c r="D1334" s="33" t="inlineStr">
        <is>
          <t>Human Body</t>
        </is>
      </c>
      <c r="E1334" s="36" t="inlineStr">
        <is>
          <t>How loud is a normal conversation?</t>
        </is>
      </c>
      <c r="F1334" s="42" t="n">
        <v>60</v>
      </c>
      <c r="G1334" s="33" t="inlineStr">
        <is>
          <t>decibels</t>
        </is>
      </c>
      <c r="H1334" s="35" t="inlineStr">
        <is>
          <t>Medium</t>
        </is>
      </c>
      <c r="I1334" s="33" t="inlineStr">
        <is>
          <t>Canadian Centre for Occupational Health and Safety</t>
        </is>
      </c>
      <c r="J1334" s="35" t="n"/>
      <c r="K1334" s="33" t="inlineStr">
        <is>
          <t>Added Oct 2026. Spot check before this day goes live.</t>
        </is>
      </c>
      <c r="L1334" s="35">
        <f>COUNTIFS($A$2:$A$1501,A1334,$D$2:$D$1501,D1334)</f>
        <v/>
      </c>
    </row>
    <row r="1335">
      <c r="A1335" s="35" t="n">
        <v>267</v>
      </c>
      <c r="B1335" s="41" t="n">
        <v>46566</v>
      </c>
      <c r="C1335" s="35" t="n">
        <v>4</v>
      </c>
      <c r="D1335" s="33" t="inlineStr">
        <is>
          <t>Canada</t>
        </is>
      </c>
      <c r="E1335" s="36" t="inlineStr">
        <is>
          <t>How big is British Columbia?</t>
        </is>
      </c>
      <c r="F1335" s="42" t="n">
        <v>944735</v>
      </c>
      <c r="G1335" s="33" t="inlineStr">
        <is>
          <t>km²</t>
        </is>
      </c>
      <c r="H1335" s="35" t="inlineStr">
        <is>
          <t>Hard</t>
        </is>
      </c>
      <c r="I1335" s="33" t="inlineStr">
        <is>
          <t>Statistics Canada</t>
        </is>
      </c>
      <c r="J1335" s="35" t="n"/>
      <c r="K1335" s="33" t="inlineStr">
        <is>
          <t>Added Oct 2026. Spot check before this day goes live.</t>
        </is>
      </c>
      <c r="L1335" s="35">
        <f>COUNTIFS($A$2:$A$1501,A1335,$D$2:$D$1501,D1335)</f>
        <v/>
      </c>
    </row>
    <row r="1336">
      <c r="A1336" s="35" t="n">
        <v>267</v>
      </c>
      <c r="B1336" s="41" t="n">
        <v>46566</v>
      </c>
      <c r="C1336" s="35" t="n">
        <v>5</v>
      </c>
      <c r="D1336" s="33" t="inlineStr">
        <is>
          <t>Distance of the Day</t>
        </is>
      </c>
      <c r="E1336" s="36" t="inlineStr">
        <is>
          <t>How far is it in a straight line from Barcelona to Zurich?</t>
        </is>
      </c>
      <c r="F1336" s="42" t="n">
        <v>840</v>
      </c>
      <c r="G1336" s="33" t="inlineStr">
        <is>
          <t>km</t>
        </is>
      </c>
      <c r="H1336" s="35" t="inlineStr">
        <is>
          <t>Easy</t>
        </is>
      </c>
      <c r="I1336" s="33" t="inlineStr">
        <is>
          <t>Computed great-circle distance (city centre to city centre)</t>
        </is>
      </c>
      <c r="J1336" s="35" t="n"/>
      <c r="K1336" s="33" t="n"/>
      <c r="L1336" s="35">
        <f>COUNTIFS($A$2:$A$1501,A1336,$D$2:$D$1501,D1336)</f>
        <v/>
      </c>
    </row>
    <row r="1337">
      <c r="A1337" s="35" t="n">
        <v>268</v>
      </c>
      <c r="B1337" s="41" t="n">
        <v>46567</v>
      </c>
      <c r="C1337" s="35" t="n">
        <v>1</v>
      </c>
      <c r="D1337" s="33" t="inlineStr">
        <is>
          <t>Animals and Nature</t>
        </is>
      </c>
      <c r="E1337" s="36" t="inlineStr">
        <is>
          <t>What percentage of their DNA do humans share with chimpanzees?</t>
        </is>
      </c>
      <c r="F1337" s="42" t="n">
        <v>98.8</v>
      </c>
      <c r="G1337" s="33" t="inlineStr">
        <is>
          <t>%</t>
        </is>
      </c>
      <c r="H1337" s="35" t="inlineStr">
        <is>
          <t>Medium</t>
        </is>
      </c>
      <c r="I1337" s="33" t="inlineStr">
        <is>
          <t>Smithsonian</t>
        </is>
      </c>
      <c r="J1337" s="35" t="n"/>
      <c r="K1337" s="33" t="inlineStr">
        <is>
          <t>Added Oct 2026. Spot check before this day goes live.</t>
        </is>
      </c>
      <c r="L1337" s="35">
        <f>COUNTIFS($A$2:$A$1501,A1337,$D$2:$D$1501,D1337)</f>
        <v/>
      </c>
    </row>
    <row r="1338">
      <c r="A1338" s="35" t="n">
        <v>268</v>
      </c>
      <c r="B1338" s="41" t="n">
        <v>46567</v>
      </c>
      <c r="C1338" s="35" t="n">
        <v>2</v>
      </c>
      <c r="D1338" s="33" t="inlineStr">
        <is>
          <t>History</t>
        </is>
      </c>
      <c r="E1338" s="36" t="inlineStr">
        <is>
          <t>How many minutes did the Titanic take to sink after hitting the iceberg?</t>
        </is>
      </c>
      <c r="F1338" s="42" t="n">
        <v>160</v>
      </c>
      <c r="G1338" s="33" t="inlineStr">
        <is>
          <t>minutes</t>
        </is>
      </c>
      <c r="H1338" s="35" t="inlineStr">
        <is>
          <t>Medium</t>
        </is>
      </c>
      <c r="I1338" s="33" t="inlineStr">
        <is>
          <t>Royal Museums Greenwich</t>
        </is>
      </c>
      <c r="J1338" s="35" t="n"/>
      <c r="K1338" s="33" t="inlineStr">
        <is>
          <t>Added Oct 2026. Spot check before this day goes live.</t>
        </is>
      </c>
      <c r="L1338" s="35">
        <f>COUNTIFS($A$2:$A$1501,A1338,$D$2:$D$1501,D1338)</f>
        <v/>
      </c>
    </row>
    <row r="1339">
      <c r="A1339" s="35" t="n">
        <v>268</v>
      </c>
      <c r="B1339" s="41" t="n">
        <v>46567</v>
      </c>
      <c r="C1339" s="35" t="n">
        <v>3</v>
      </c>
      <c r="D1339" s="33" t="inlineStr">
        <is>
          <t>Buildings and Engineering</t>
        </is>
      </c>
      <c r="E1339" s="36" t="inlineStr">
        <is>
          <t>How tall are the columns of the Parthenon?</t>
        </is>
      </c>
      <c r="F1339" s="42" t="n">
        <v>10.4</v>
      </c>
      <c r="G1339" s="33" t="inlineStr">
        <is>
          <t>metres</t>
        </is>
      </c>
      <c r="H1339" s="35" t="inlineStr">
        <is>
          <t>Hard</t>
        </is>
      </c>
      <c r="I1339" s="33" t="inlineStr">
        <is>
          <t>Acropolis Museum</t>
        </is>
      </c>
      <c r="J1339" s="35" t="n"/>
      <c r="K1339" s="33" t="inlineStr">
        <is>
          <t>Added Oct 2026. Spot check before this day goes live.</t>
        </is>
      </c>
      <c r="L1339" s="35">
        <f>COUNTIFS($A$2:$A$1501,A1339,$D$2:$D$1501,D1339)</f>
        <v/>
      </c>
    </row>
    <row r="1340">
      <c r="A1340" s="35" t="n">
        <v>268</v>
      </c>
      <c r="B1340" s="41" t="n">
        <v>46567</v>
      </c>
      <c r="C1340" s="35" t="n">
        <v>4</v>
      </c>
      <c r="D1340" s="33" t="inlineStr">
        <is>
          <t>Sports</t>
        </is>
      </c>
      <c r="E1340" s="36" t="inlineStr">
        <is>
          <t>How high off the floor is the bullseye on a dartboard?</t>
        </is>
      </c>
      <c r="F1340" s="42" t="n">
        <v>173</v>
      </c>
      <c r="G1340" s="33" t="inlineStr">
        <is>
          <t>cm</t>
        </is>
      </c>
      <c r="H1340" s="35" t="inlineStr">
        <is>
          <t>Hard</t>
        </is>
      </c>
      <c r="I1340" s="33" t="inlineStr">
        <is>
          <t>World Darts Federation</t>
        </is>
      </c>
      <c r="J1340" s="35" t="n"/>
      <c r="K1340" s="33" t="inlineStr">
        <is>
          <t>Added Oct 2026. Spot check before this day goes live.</t>
        </is>
      </c>
      <c r="L1340" s="35">
        <f>COUNTIFS($A$2:$A$1501,A1340,$D$2:$D$1501,D1340)</f>
        <v/>
      </c>
    </row>
    <row r="1341">
      <c r="A1341" s="35" t="n">
        <v>268</v>
      </c>
      <c r="B1341" s="41" t="n">
        <v>46567</v>
      </c>
      <c r="C1341" s="35" t="n">
        <v>5</v>
      </c>
      <c r="D1341" s="33" t="inlineStr">
        <is>
          <t>Distance of the Day</t>
        </is>
      </c>
      <c r="E1341" s="36" t="inlineStr">
        <is>
          <t>How far is it in a straight line from Winnipeg to Dublin?</t>
        </is>
      </c>
      <c r="F1341" s="42" t="n">
        <v>5850</v>
      </c>
      <c r="G1341" s="33" t="inlineStr">
        <is>
          <t>km</t>
        </is>
      </c>
      <c r="H1341" s="35" t="inlineStr">
        <is>
          <t>Medium</t>
        </is>
      </c>
      <c r="I1341" s="33" t="inlineStr">
        <is>
          <t>Computed great-circle distance (city centre to city centre)</t>
        </is>
      </c>
      <c r="J1341" s="35" t="n"/>
      <c r="K1341" s="33" t="n"/>
      <c r="L1341" s="35">
        <f>COUNTIFS($A$2:$A$1501,A1341,$D$2:$D$1501,D1341)</f>
        <v/>
      </c>
    </row>
    <row r="1342">
      <c r="A1342" s="35" t="n">
        <v>269</v>
      </c>
      <c r="B1342" s="41" t="n">
        <v>46568</v>
      </c>
      <c r="C1342" s="35" t="n">
        <v>1</v>
      </c>
      <c r="D1342" s="33" t="inlineStr">
        <is>
          <t>Space and Science</t>
        </is>
      </c>
      <c r="E1342" s="36" t="inlineStr">
        <is>
          <t>What is the pH of pure water?</t>
        </is>
      </c>
      <c r="F1342" s="42" t="n">
        <v>7</v>
      </c>
      <c r="G1342" s="33" t="inlineStr">
        <is>
          <t>pH</t>
        </is>
      </c>
      <c r="H1342" s="35" t="inlineStr">
        <is>
          <t>Easy</t>
        </is>
      </c>
      <c r="I1342" s="33" t="inlineStr">
        <is>
          <t>Britannica</t>
        </is>
      </c>
      <c r="J1342" s="35" t="n"/>
      <c r="K1342" s="33" t="inlineStr">
        <is>
          <t>Added Oct 2026. Spot check before this day goes live.</t>
        </is>
      </c>
      <c r="L1342" s="35">
        <f>COUNTIFS($A$2:$A$1501,A1342,$D$2:$D$1501,D1342)</f>
        <v/>
      </c>
    </row>
    <row r="1343">
      <c r="A1343" s="35" t="n">
        <v>269</v>
      </c>
      <c r="B1343" s="41" t="n">
        <v>46568</v>
      </c>
      <c r="C1343" s="35" t="n">
        <v>2</v>
      </c>
      <c r="D1343" s="33" t="inlineStr">
        <is>
          <t>Food and Everyday Life</t>
        </is>
      </c>
      <c r="E1343" s="36" t="inlineStr">
        <is>
          <t>How tall is a standard dining table?</t>
        </is>
      </c>
      <c r="F1343" s="42" t="n">
        <v>76</v>
      </c>
      <c r="G1343" s="33" t="inlineStr">
        <is>
          <t>cm</t>
        </is>
      </c>
      <c r="H1343" s="35" t="inlineStr">
        <is>
          <t>Medium</t>
        </is>
      </c>
      <c r="I1343" s="33" t="inlineStr">
        <is>
          <t>National Kitchen and Bath Association</t>
        </is>
      </c>
      <c r="J1343" s="35" t="n"/>
      <c r="K1343" s="33" t="inlineStr">
        <is>
          <t>Added Oct 2026. Spot check before this day goes live.</t>
        </is>
      </c>
      <c r="L1343" s="35">
        <f>COUNTIFS($A$2:$A$1501,A1343,$D$2:$D$1501,D1343)</f>
        <v/>
      </c>
    </row>
    <row r="1344">
      <c r="A1344" s="35" t="n">
        <v>269</v>
      </c>
      <c r="B1344" s="41" t="n">
        <v>46568</v>
      </c>
      <c r="C1344" s="35" t="n">
        <v>3</v>
      </c>
      <c r="D1344" s="33" t="inlineStr">
        <is>
          <t>Canada</t>
        </is>
      </c>
      <c r="E1344" s="36" t="inlineStr">
        <is>
          <t>How long is Canada's border with Alaska?</t>
        </is>
      </c>
      <c r="F1344" s="42" t="n">
        <v>2475</v>
      </c>
      <c r="G1344" s="33" t="inlineStr">
        <is>
          <t>km</t>
        </is>
      </c>
      <c r="H1344" s="35" t="inlineStr">
        <is>
          <t>Hard</t>
        </is>
      </c>
      <c r="I1344" s="33" t="inlineStr">
        <is>
          <t>International Boundary Commission</t>
        </is>
      </c>
      <c r="J1344" s="35" t="n"/>
      <c r="K1344" s="33" t="inlineStr">
        <is>
          <t>Added Oct 2026. Spot check before this day goes live.</t>
        </is>
      </c>
      <c r="L1344" s="35">
        <f>COUNTIFS($A$2:$A$1501,A1344,$D$2:$D$1501,D1344)</f>
        <v/>
      </c>
    </row>
    <row r="1345">
      <c r="A1345" s="35" t="n">
        <v>269</v>
      </c>
      <c r="B1345" s="41" t="n">
        <v>46568</v>
      </c>
      <c r="C1345" s="35" t="n">
        <v>4</v>
      </c>
      <c r="D1345" s="33" t="inlineStr">
        <is>
          <t>Geography</t>
        </is>
      </c>
      <c r="E1345" s="36" t="inlineStr">
        <is>
          <t>How tall is Mount Kenya?</t>
        </is>
      </c>
      <c r="F1345" s="42" t="n">
        <v>5199</v>
      </c>
      <c r="G1345" s="33" t="inlineStr">
        <is>
          <t>metres</t>
        </is>
      </c>
      <c r="H1345" s="35" t="inlineStr">
        <is>
          <t>Hard</t>
        </is>
      </c>
      <c r="I1345" s="33" t="inlineStr">
        <is>
          <t>Britannica</t>
        </is>
      </c>
      <c r="J1345" s="35" t="n"/>
      <c r="K1345" s="33" t="inlineStr">
        <is>
          <t>Added Oct 2026. Spot check before this day goes live.</t>
        </is>
      </c>
      <c r="L1345" s="35">
        <f>COUNTIFS($A$2:$A$1501,A1345,$D$2:$D$1501,D1345)</f>
        <v/>
      </c>
    </row>
    <row r="1346">
      <c r="A1346" s="35" t="n">
        <v>269</v>
      </c>
      <c r="B1346" s="41" t="n">
        <v>46568</v>
      </c>
      <c r="C1346" s="35" t="n">
        <v>5</v>
      </c>
      <c r="D1346" s="33" t="inlineStr">
        <is>
          <t>Distance of the Day</t>
        </is>
      </c>
      <c r="E1346" s="36" t="inlineStr">
        <is>
          <t>How far is it in a straight line from Winnipeg to Istanbul?</t>
        </is>
      </c>
      <c r="F1346" s="42" t="n">
        <v>8620</v>
      </c>
      <c r="G1346" s="33" t="inlineStr">
        <is>
          <t>km</t>
        </is>
      </c>
      <c r="H1346" s="35" t="inlineStr">
        <is>
          <t>Hard</t>
        </is>
      </c>
      <c r="I1346" s="33" t="inlineStr">
        <is>
          <t>Computed great-circle distance (city centre to city centre)</t>
        </is>
      </c>
      <c r="J1346" s="35" t="n"/>
      <c r="K1346" s="33" t="n"/>
      <c r="L1346" s="35">
        <f>COUNTIFS($A$2:$A$1501,A1346,$D$2:$D$1501,D1346)</f>
        <v/>
      </c>
    </row>
    <row r="1347">
      <c r="A1347" s="35" t="n">
        <v>270</v>
      </c>
      <c r="B1347" s="41" t="n">
        <v>46569</v>
      </c>
      <c r="C1347" s="35" t="n">
        <v>1</v>
      </c>
      <c r="D1347" s="33" t="inlineStr">
        <is>
          <t>Human Body</t>
        </is>
      </c>
      <c r="E1347" s="36" t="inlineStr">
        <is>
          <t>How many chambers does the human heart have?</t>
        </is>
      </c>
      <c r="F1347" s="42" t="n">
        <v>4</v>
      </c>
      <c r="G1347" s="33" t="inlineStr">
        <is>
          <t>chambers</t>
        </is>
      </c>
      <c r="H1347" s="35" t="inlineStr">
        <is>
          <t>Easy</t>
        </is>
      </c>
      <c r="I1347" s="33" t="inlineStr">
        <is>
          <t>American Heart Association</t>
        </is>
      </c>
      <c r="J1347" s="35" t="n"/>
      <c r="K1347" s="33" t="inlineStr">
        <is>
          <t>Added Oct 2026. Spot check before this day goes live.</t>
        </is>
      </c>
      <c r="L1347" s="35">
        <f>COUNTIFS($A$2:$A$1501,A1347,$D$2:$D$1501,D1347)</f>
        <v/>
      </c>
    </row>
    <row r="1348">
      <c r="A1348" s="35" t="n">
        <v>270</v>
      </c>
      <c r="B1348" s="41" t="n">
        <v>46569</v>
      </c>
      <c r="C1348" s="35" t="n">
        <v>2</v>
      </c>
      <c r="D1348" s="33" t="inlineStr">
        <is>
          <t>Movies, Music and Games</t>
        </is>
      </c>
      <c r="E1348" s="36" t="inlineStr">
        <is>
          <t>How many suspect characters are in the classic game Clue?</t>
        </is>
      </c>
      <c r="F1348" s="42" t="n">
        <v>6</v>
      </c>
      <c r="G1348" s="33" t="inlineStr">
        <is>
          <t>suspects</t>
        </is>
      </c>
      <c r="H1348" s="35" t="inlineStr">
        <is>
          <t>Medium</t>
        </is>
      </c>
      <c r="I1348" s="33" t="inlineStr">
        <is>
          <t>Hasbro</t>
        </is>
      </c>
      <c r="J1348" s="35" t="n"/>
      <c r="K1348" s="33" t="inlineStr">
        <is>
          <t>Added Oct 2026. Spot check before this day goes live.</t>
        </is>
      </c>
      <c r="L1348" s="35">
        <f>COUNTIFS($A$2:$A$1501,A1348,$D$2:$D$1501,D1348)</f>
        <v/>
      </c>
    </row>
    <row r="1349">
      <c r="A1349" s="35" t="n">
        <v>270</v>
      </c>
      <c r="B1349" s="41" t="n">
        <v>46569</v>
      </c>
      <c r="C1349" s="35" t="n">
        <v>3</v>
      </c>
      <c r="D1349" s="33" t="inlineStr">
        <is>
          <t>History</t>
        </is>
      </c>
      <c r="E1349" s="36" t="inlineStr">
        <is>
          <t>How many lifeboats did the Titanic carry?</t>
        </is>
      </c>
      <c r="F1349" s="42" t="n">
        <v>20</v>
      </c>
      <c r="G1349" s="33" t="inlineStr">
        <is>
          <t>lifeboats</t>
        </is>
      </c>
      <c r="H1349" s="35" t="inlineStr">
        <is>
          <t>Medium</t>
        </is>
      </c>
      <c r="I1349" s="33" t="inlineStr">
        <is>
          <t>Encyclopedia Titanica</t>
        </is>
      </c>
      <c r="J1349" s="35" t="n"/>
      <c r="K1349" s="33" t="inlineStr">
        <is>
          <t>Added Oct 2026. Spot check before this day goes live.</t>
        </is>
      </c>
      <c r="L1349" s="35">
        <f>COUNTIFS($A$2:$A$1501,A1349,$D$2:$D$1501,D1349)</f>
        <v/>
      </c>
    </row>
    <row r="1350">
      <c r="A1350" s="35" t="n">
        <v>270</v>
      </c>
      <c r="B1350" s="41" t="n">
        <v>46569</v>
      </c>
      <c r="C1350" s="35" t="n">
        <v>4</v>
      </c>
      <c r="D1350" s="33" t="inlineStr">
        <is>
          <t>Buildings and Engineering</t>
        </is>
      </c>
      <c r="E1350" s="36" t="inlineStr">
        <is>
          <t>How heavy is the Liberty Bell?</t>
        </is>
      </c>
      <c r="F1350" s="42" t="n">
        <v>943</v>
      </c>
      <c r="G1350" s="33" t="inlineStr">
        <is>
          <t>kg</t>
        </is>
      </c>
      <c r="H1350" s="35" t="inlineStr">
        <is>
          <t>Hard</t>
        </is>
      </c>
      <c r="I1350" s="33" t="inlineStr">
        <is>
          <t>US National Park Service</t>
        </is>
      </c>
      <c r="J1350" s="35" t="n"/>
      <c r="K1350" s="33" t="inlineStr">
        <is>
          <t>Added Oct 2026. Spot check before this day goes live.</t>
        </is>
      </c>
      <c r="L1350" s="35">
        <f>COUNTIFS($A$2:$A$1501,A1350,$D$2:$D$1501,D1350)</f>
        <v/>
      </c>
    </row>
    <row r="1351">
      <c r="A1351" s="35" t="n">
        <v>270</v>
      </c>
      <c r="B1351" s="41" t="n">
        <v>46569</v>
      </c>
      <c r="C1351" s="35" t="n">
        <v>5</v>
      </c>
      <c r="D1351" s="33" t="inlineStr">
        <is>
          <t>Distance of the Day</t>
        </is>
      </c>
      <c r="E1351" s="36" t="inlineStr">
        <is>
          <t>How far is it in a straight line from Regina to Thunder Bay?</t>
        </is>
      </c>
      <c r="F1351" s="42" t="n">
        <v>1130</v>
      </c>
      <c r="G1351" s="33" t="inlineStr">
        <is>
          <t>km</t>
        </is>
      </c>
      <c r="H1351" s="35" t="inlineStr">
        <is>
          <t>Easy</t>
        </is>
      </c>
      <c r="I1351" s="33" t="inlineStr">
        <is>
          <t>Computed great-circle distance (city centre to city centre)</t>
        </is>
      </c>
      <c r="J1351" s="35" t="n"/>
      <c r="K1351" s="33" t="n"/>
      <c r="L1351" s="35">
        <f>COUNTIFS($A$2:$A$1501,A1351,$D$2:$D$1501,D1351)</f>
        <v/>
      </c>
    </row>
    <row r="1352">
      <c r="A1352" s="35" t="n">
        <v>271</v>
      </c>
      <c r="B1352" s="41" t="n">
        <v>46570</v>
      </c>
      <c r="C1352" s="35" t="n">
        <v>1</v>
      </c>
      <c r="D1352" s="33" t="inlineStr">
        <is>
          <t>Animals and Nature</t>
        </is>
      </c>
      <c r="E1352" s="36" t="inlineStr">
        <is>
          <t>How many days is a cat pregnant for?</t>
        </is>
      </c>
      <c r="F1352" s="42" t="n">
        <v>64</v>
      </c>
      <c r="G1352" s="33" t="inlineStr">
        <is>
          <t>days</t>
        </is>
      </c>
      <c r="H1352" s="35" t="inlineStr">
        <is>
          <t>Medium</t>
        </is>
      </c>
      <c r="I1352" s="33" t="inlineStr">
        <is>
          <t>Cornell Feline Health Center</t>
        </is>
      </c>
      <c r="J1352" s="35" t="n"/>
      <c r="K1352" s="33" t="inlineStr">
        <is>
          <t>Added Oct 2026. Spot check before this day goes live.</t>
        </is>
      </c>
      <c r="L1352" s="35">
        <f>COUNTIFS($A$2:$A$1501,A1352,$D$2:$D$1501,D1352)</f>
        <v/>
      </c>
    </row>
    <row r="1353">
      <c r="A1353" s="35" t="n">
        <v>271</v>
      </c>
      <c r="B1353" s="41" t="n">
        <v>46570</v>
      </c>
      <c r="C1353" s="35" t="n">
        <v>2</v>
      </c>
      <c r="D1353" s="33" t="inlineStr">
        <is>
          <t>Food and Everyday Life</t>
        </is>
      </c>
      <c r="E1353" s="36" t="inlineStr">
        <is>
          <t>How hot does a wood-fired pizza oven get?</t>
        </is>
      </c>
      <c r="F1353" s="42" t="n">
        <v>450</v>
      </c>
      <c r="G1353" s="33" t="inlineStr">
        <is>
          <t>°C</t>
        </is>
      </c>
      <c r="H1353" s="35" t="inlineStr">
        <is>
          <t>Medium</t>
        </is>
      </c>
      <c r="I1353" s="33" t="inlineStr">
        <is>
          <t>Associazione Verace Pizza Napoletana</t>
        </is>
      </c>
      <c r="J1353" s="35" t="n"/>
      <c r="K1353" s="33" t="inlineStr">
        <is>
          <t>Added Oct 2026. Spot check before this day goes live.</t>
        </is>
      </c>
      <c r="L1353" s="35">
        <f>COUNTIFS($A$2:$A$1501,A1353,$D$2:$D$1501,D1353)</f>
        <v/>
      </c>
    </row>
    <row r="1354">
      <c r="A1354" s="35" t="n">
        <v>271</v>
      </c>
      <c r="B1354" s="41" t="n">
        <v>46570</v>
      </c>
      <c r="C1354" s="35" t="n">
        <v>3</v>
      </c>
      <c r="D1354" s="33" t="inlineStr">
        <is>
          <t>Sports</t>
        </is>
      </c>
      <c r="E1354" s="36" t="inlineStr">
        <is>
          <t>How many people can the Melbourne Cricket Ground hold?</t>
        </is>
      </c>
      <c r="F1354" s="42" t="n">
        <v>100024</v>
      </c>
      <c r="G1354" s="33" t="inlineStr">
        <is>
          <t>people</t>
        </is>
      </c>
      <c r="H1354" s="35" t="inlineStr">
        <is>
          <t>Hard</t>
        </is>
      </c>
      <c r="I1354" s="33" t="inlineStr">
        <is>
          <t>Melbourne Cricket Ground</t>
        </is>
      </c>
      <c r="J1354" s="35" t="n"/>
      <c r="K1354" s="33" t="inlineStr">
        <is>
          <t>Added Oct 2026. Spot check before this day goes live.</t>
        </is>
      </c>
      <c r="L1354" s="35">
        <f>COUNTIFS($A$2:$A$1501,A1354,$D$2:$D$1501,D1354)</f>
        <v/>
      </c>
    </row>
    <row r="1355">
      <c r="A1355" s="35" t="n">
        <v>271</v>
      </c>
      <c r="B1355" s="41" t="n">
        <v>46570</v>
      </c>
      <c r="C1355" s="35" t="n">
        <v>4</v>
      </c>
      <c r="D1355" s="33" t="inlineStr">
        <is>
          <t>Canada</t>
        </is>
      </c>
      <c r="E1355" s="36" t="inlineStr">
        <is>
          <t>How high above sea level is the town of Banff?</t>
        </is>
      </c>
      <c r="F1355" s="42" t="n">
        <v>1383</v>
      </c>
      <c r="G1355" s="33" t="inlineStr">
        <is>
          <t>metres</t>
        </is>
      </c>
      <c r="H1355" s="35" t="inlineStr">
        <is>
          <t>Hard</t>
        </is>
      </c>
      <c r="I1355" s="33" t="inlineStr">
        <is>
          <t>Town of Banff</t>
        </is>
      </c>
      <c r="J1355" s="35" t="n"/>
      <c r="K1355" s="33" t="inlineStr">
        <is>
          <t>Added Oct 2026. Spot check before this day goes live.</t>
        </is>
      </c>
      <c r="L1355" s="35">
        <f>COUNTIFS($A$2:$A$1501,A1355,$D$2:$D$1501,D1355)</f>
        <v/>
      </c>
    </row>
    <row r="1356">
      <c r="A1356" s="35" t="n">
        <v>271</v>
      </c>
      <c r="B1356" s="41" t="n">
        <v>46570</v>
      </c>
      <c r="C1356" s="35" t="n">
        <v>5</v>
      </c>
      <c r="D1356" s="33" t="inlineStr">
        <is>
          <t>Distance of the Day</t>
        </is>
      </c>
      <c r="E1356" s="36" t="inlineStr">
        <is>
          <t>How far is it in a straight line from Victoria to London?</t>
        </is>
      </c>
      <c r="F1356" s="42" t="n">
        <v>7670</v>
      </c>
      <c r="G1356" s="33" t="inlineStr">
        <is>
          <t>km</t>
        </is>
      </c>
      <c r="H1356" s="35" t="inlineStr">
        <is>
          <t>Medium</t>
        </is>
      </c>
      <c r="I1356" s="33" t="inlineStr">
        <is>
          <t>Computed great-circle distance (city centre to city centre)</t>
        </is>
      </c>
      <c r="J1356" s="35" t="n"/>
      <c r="K1356" s="33" t="n"/>
      <c r="L1356" s="35">
        <f>COUNTIFS($A$2:$A$1501,A1356,$D$2:$D$1501,D1356)</f>
        <v/>
      </c>
    </row>
    <row r="1357">
      <c r="A1357" s="35" t="n">
        <v>272</v>
      </c>
      <c r="B1357" s="41" t="n">
        <v>46571</v>
      </c>
      <c r="C1357" s="35" t="n">
        <v>1</v>
      </c>
      <c r="D1357" s="33" t="inlineStr">
        <is>
          <t>Human Body</t>
        </is>
      </c>
      <c r="E1357" s="36" t="inlineStr">
        <is>
          <t>How many toes does a human have?</t>
        </is>
      </c>
      <c r="F1357" s="42" t="n">
        <v>10</v>
      </c>
      <c r="G1357" s="33" t="inlineStr">
        <is>
          <t>toes</t>
        </is>
      </c>
      <c r="H1357" s="35" t="inlineStr">
        <is>
          <t>Easy</t>
        </is>
      </c>
      <c r="I1357" s="33" t="inlineStr">
        <is>
          <t>Britannica</t>
        </is>
      </c>
      <c r="J1357" s="35" t="n"/>
      <c r="K1357" s="33" t="inlineStr">
        <is>
          <t>Added Oct 2026. Spot check before this day goes live.</t>
        </is>
      </c>
      <c r="L1357" s="35">
        <f>COUNTIFS($A$2:$A$1501,A1357,$D$2:$D$1501,D1357)</f>
        <v/>
      </c>
    </row>
    <row r="1358">
      <c r="A1358" s="35" t="n">
        <v>272</v>
      </c>
      <c r="B1358" s="41" t="n">
        <v>46571</v>
      </c>
      <c r="C1358" s="35" t="n">
        <v>2</v>
      </c>
      <c r="D1358" s="33" t="inlineStr">
        <is>
          <t>History</t>
        </is>
      </c>
      <c r="E1358" s="36" t="inlineStr">
        <is>
          <t>How many years did the Soviet Union exist?</t>
        </is>
      </c>
      <c r="F1358" s="42" t="n">
        <v>69</v>
      </c>
      <c r="G1358" s="33" t="inlineStr">
        <is>
          <t>years</t>
        </is>
      </c>
      <c r="H1358" s="35" t="inlineStr">
        <is>
          <t>Medium</t>
        </is>
      </c>
      <c r="I1358" s="33" t="inlineStr">
        <is>
          <t>Britannica</t>
        </is>
      </c>
      <c r="J1358" s="35" t="n"/>
      <c r="K1358" s="33" t="inlineStr">
        <is>
          <t>Added Oct 2026. Spot check before this day goes live.</t>
        </is>
      </c>
      <c r="L1358" s="35">
        <f>COUNTIFS($A$2:$A$1501,A1358,$D$2:$D$1501,D1358)</f>
        <v/>
      </c>
    </row>
    <row r="1359">
      <c r="A1359" s="35" t="n">
        <v>272</v>
      </c>
      <c r="B1359" s="41" t="n">
        <v>46571</v>
      </c>
      <c r="C1359" s="35" t="n">
        <v>3</v>
      </c>
      <c r="D1359" s="33" t="inlineStr">
        <is>
          <t>Space and Science</t>
        </is>
      </c>
      <c r="E1359" s="36" t="inlineStr">
        <is>
          <t>What percentage of the Sun's mass is hydrogen?</t>
        </is>
      </c>
      <c r="F1359" s="42" t="n">
        <v>73</v>
      </c>
      <c r="G1359" s="33" t="inlineStr">
        <is>
          <t>%</t>
        </is>
      </c>
      <c r="H1359" s="35" t="inlineStr">
        <is>
          <t>Hard</t>
        </is>
      </c>
      <c r="I1359" s="33" t="inlineStr">
        <is>
          <t>NASA</t>
        </is>
      </c>
      <c r="J1359" s="35" t="n"/>
      <c r="K1359" s="33" t="inlineStr">
        <is>
          <t>Added Oct 2026. Spot check before this day goes live.</t>
        </is>
      </c>
      <c r="L1359" s="35">
        <f>COUNTIFS($A$2:$A$1501,A1359,$D$2:$D$1501,D1359)</f>
        <v/>
      </c>
    </row>
    <row r="1360">
      <c r="A1360" s="35" t="n">
        <v>272</v>
      </c>
      <c r="B1360" s="41" t="n">
        <v>46571</v>
      </c>
      <c r="C1360" s="35" t="n">
        <v>4</v>
      </c>
      <c r="D1360" s="33" t="inlineStr">
        <is>
          <t>Geography</t>
        </is>
      </c>
      <c r="E1360" s="36" t="inlineStr">
        <is>
          <t>How old is Lake Baikal, the world's oldest lake?</t>
        </is>
      </c>
      <c r="F1360" s="42" t="n">
        <v>25</v>
      </c>
      <c r="G1360" s="33" t="inlineStr">
        <is>
          <t>million years</t>
        </is>
      </c>
      <c r="H1360" s="35" t="inlineStr">
        <is>
          <t>Hard</t>
        </is>
      </c>
      <c r="I1360" s="33" t="inlineStr">
        <is>
          <t>UNESCO</t>
        </is>
      </c>
      <c r="J1360" s="35" t="n"/>
      <c r="K1360" s="33" t="inlineStr">
        <is>
          <t>Added Oct 2026. Spot check before this day goes live.</t>
        </is>
      </c>
      <c r="L1360" s="35">
        <f>COUNTIFS($A$2:$A$1501,A1360,$D$2:$D$1501,D1360)</f>
        <v/>
      </c>
    </row>
    <row r="1361">
      <c r="A1361" s="35" t="n">
        <v>272</v>
      </c>
      <c r="B1361" s="41" t="n">
        <v>46571</v>
      </c>
      <c r="C1361" s="35" t="n">
        <v>5</v>
      </c>
      <c r="D1361" s="33" t="inlineStr">
        <is>
          <t>Distance of the Day</t>
        </is>
      </c>
      <c r="E1361" s="36" t="inlineStr">
        <is>
          <t>How far is it in a straight line from Regina to Delhi?</t>
        </is>
      </c>
      <c r="F1361" s="42" t="n">
        <v>11220</v>
      </c>
      <c r="G1361" s="33" t="inlineStr">
        <is>
          <t>km</t>
        </is>
      </c>
      <c r="H1361" s="35" t="inlineStr">
        <is>
          <t>Hard</t>
        </is>
      </c>
      <c r="I1361" s="33" t="inlineStr">
        <is>
          <t>Computed great-circle distance (city centre to city centre)</t>
        </is>
      </c>
      <c r="J1361" s="35" t="n"/>
      <c r="K1361" s="33" t="n"/>
      <c r="L1361" s="35">
        <f>COUNTIFS($A$2:$A$1501,A1361,$D$2:$D$1501,D1361)</f>
        <v/>
      </c>
    </row>
    <row r="1362">
      <c r="A1362" s="35" t="n">
        <v>273</v>
      </c>
      <c r="B1362" s="41" t="n">
        <v>46572</v>
      </c>
      <c r="C1362" s="35" t="n">
        <v>1</v>
      </c>
      <c r="D1362" s="33" t="inlineStr">
        <is>
          <t>Food and Everyday Life</t>
        </is>
      </c>
      <c r="E1362" s="36" t="inlineStr">
        <is>
          <t>How many minutes are in a day?</t>
        </is>
      </c>
      <c r="F1362" s="42" t="n">
        <v>1440</v>
      </c>
      <c r="G1362" s="33" t="inlineStr">
        <is>
          <t>minutes</t>
        </is>
      </c>
      <c r="H1362" s="35" t="inlineStr">
        <is>
          <t>Easy</t>
        </is>
      </c>
      <c r="I1362" s="33" t="inlineStr">
        <is>
          <t>NIST</t>
        </is>
      </c>
      <c r="J1362" s="35" t="n"/>
      <c r="K1362" s="33" t="inlineStr">
        <is>
          <t>Added Oct 2026. Spot check before this day goes live.</t>
        </is>
      </c>
      <c r="L1362" s="35">
        <f>COUNTIFS($A$2:$A$1501,A1362,$D$2:$D$1501,D1362)</f>
        <v/>
      </c>
    </row>
    <row r="1363">
      <c r="A1363" s="35" t="n">
        <v>273</v>
      </c>
      <c r="B1363" s="41" t="n">
        <v>46572</v>
      </c>
      <c r="C1363" s="35" t="n">
        <v>2</v>
      </c>
      <c r="D1363" s="33" t="inlineStr">
        <is>
          <t>Movies, Music and Games</t>
        </is>
      </c>
      <c r="E1363" s="36" t="inlineStr">
        <is>
          <t>How long is Star Wars: A New Hope (1977)?</t>
        </is>
      </c>
      <c r="F1363" s="42" t="n">
        <v>121</v>
      </c>
      <c r="G1363" s="33" t="inlineStr">
        <is>
          <t>minutes</t>
        </is>
      </c>
      <c r="H1363" s="35" t="inlineStr">
        <is>
          <t>Medium</t>
        </is>
      </c>
      <c r="I1363" s="33" t="inlineStr">
        <is>
          <t>IMDb</t>
        </is>
      </c>
      <c r="J1363" s="35" t="n"/>
      <c r="K1363" s="33" t="inlineStr">
        <is>
          <t>Added Oct 2026. Spot check before this day goes live.</t>
        </is>
      </c>
      <c r="L1363" s="35">
        <f>COUNTIFS($A$2:$A$1501,A1363,$D$2:$D$1501,D1363)</f>
        <v/>
      </c>
    </row>
    <row r="1364">
      <c r="A1364" s="35" t="n">
        <v>273</v>
      </c>
      <c r="B1364" s="41" t="n">
        <v>46572</v>
      </c>
      <c r="C1364" s="35" t="n">
        <v>3</v>
      </c>
      <c r="D1364" s="33" t="inlineStr">
        <is>
          <t>Animals and Nature</t>
        </is>
      </c>
      <c r="E1364" s="36" t="inlineStr">
        <is>
          <t>How tall is an adult emperor penguin?</t>
        </is>
      </c>
      <c r="F1364" s="42" t="n">
        <v>115</v>
      </c>
      <c r="G1364" s="33" t="inlineStr">
        <is>
          <t>cm</t>
        </is>
      </c>
      <c r="H1364" s="35" t="inlineStr">
        <is>
          <t>Medium</t>
        </is>
      </c>
      <c r="I1364" s="33" t="inlineStr">
        <is>
          <t>British Antarctic Survey</t>
        </is>
      </c>
      <c r="J1364" s="35" t="n"/>
      <c r="K1364" s="33" t="inlineStr">
        <is>
          <t>Added Oct 2026. Spot check before this day goes live.</t>
        </is>
      </c>
      <c r="L1364" s="35">
        <f>COUNTIFS($A$2:$A$1501,A1364,$D$2:$D$1501,D1364)</f>
        <v/>
      </c>
    </row>
    <row r="1365">
      <c r="A1365" s="35" t="n">
        <v>273</v>
      </c>
      <c r="B1365" s="41" t="n">
        <v>46572</v>
      </c>
      <c r="C1365" s="35" t="n">
        <v>4</v>
      </c>
      <c r="D1365" s="33" t="inlineStr">
        <is>
          <t>Canada</t>
        </is>
      </c>
      <c r="E1365" s="36" t="inlineStr">
        <is>
          <t>How many million visits did Expo 67 in Montreal draw?</t>
        </is>
      </c>
      <c r="F1365" s="42" t="n">
        <v>50</v>
      </c>
      <c r="G1365" s="33" t="inlineStr">
        <is>
          <t>million visits</t>
        </is>
      </c>
      <c r="H1365" s="35" t="inlineStr">
        <is>
          <t>Hard</t>
        </is>
      </c>
      <c r="I1365" s="33" t="inlineStr">
        <is>
          <t>Library and Archives Canada</t>
        </is>
      </c>
      <c r="J1365" s="35" t="n"/>
      <c r="K1365" s="33" t="inlineStr">
        <is>
          <t>Added Oct 2026. Spot check before this day goes live.</t>
        </is>
      </c>
      <c r="L1365" s="35">
        <f>COUNTIFS($A$2:$A$1501,A1365,$D$2:$D$1501,D1365)</f>
        <v/>
      </c>
    </row>
    <row r="1366">
      <c r="A1366" s="35" t="n">
        <v>273</v>
      </c>
      <c r="B1366" s="41" t="n">
        <v>46572</v>
      </c>
      <c r="C1366" s="35" t="n">
        <v>5</v>
      </c>
      <c r="D1366" s="33" t="inlineStr">
        <is>
          <t>Distance of the Day</t>
        </is>
      </c>
      <c r="E1366" s="36" t="inlineStr">
        <is>
          <t>How far is it in a straight line from Toronto to Edinburgh?</t>
        </is>
      </c>
      <c r="F1366" s="42" t="n">
        <v>5340</v>
      </c>
      <c r="G1366" s="33" t="inlineStr">
        <is>
          <t>km</t>
        </is>
      </c>
      <c r="H1366" s="35" t="inlineStr">
        <is>
          <t>Medium</t>
        </is>
      </c>
      <c r="I1366" s="33" t="inlineStr">
        <is>
          <t>Computed great-circle distance (city centre to city centre)</t>
        </is>
      </c>
      <c r="J1366" s="35" t="n"/>
      <c r="K1366" s="33" t="n"/>
      <c r="L1366" s="35">
        <f>COUNTIFS($A$2:$A$1501,A1366,$D$2:$D$1501,D1366)</f>
        <v/>
      </c>
    </row>
    <row r="1367">
      <c r="A1367" s="35" t="n">
        <v>274</v>
      </c>
      <c r="B1367" s="41" t="n">
        <v>46573</v>
      </c>
      <c r="C1367" s="35" t="n">
        <v>1</v>
      </c>
      <c r="D1367" s="33" t="inlineStr">
        <is>
          <t>History</t>
        </is>
      </c>
      <c r="E1367" s="36" t="inlineStr">
        <is>
          <t>How many years did the Cold War last, by the usual dating?</t>
        </is>
      </c>
      <c r="F1367" s="42" t="n">
        <v>44</v>
      </c>
      <c r="G1367" s="33" t="inlineStr">
        <is>
          <t>years</t>
        </is>
      </c>
      <c r="H1367" s="35" t="inlineStr">
        <is>
          <t>Medium</t>
        </is>
      </c>
      <c r="I1367" s="33" t="inlineStr">
        <is>
          <t>Britannica</t>
        </is>
      </c>
      <c r="J1367" s="35" t="n"/>
      <c r="K1367" s="33" t="inlineStr">
        <is>
          <t>Added Oct 2026. Spot check before this day goes live.</t>
        </is>
      </c>
      <c r="L1367" s="35">
        <f>COUNTIFS($A$2:$A$1501,A1367,$D$2:$D$1501,D1367)</f>
        <v/>
      </c>
    </row>
    <row r="1368">
      <c r="A1368" s="35" t="n">
        <v>274</v>
      </c>
      <c r="B1368" s="41" t="n">
        <v>46573</v>
      </c>
      <c r="C1368" s="35" t="n">
        <v>2</v>
      </c>
      <c r="D1368" s="33" t="inlineStr">
        <is>
          <t>Geography</t>
        </is>
      </c>
      <c r="E1368" s="36" t="inlineStr">
        <is>
          <t>How deep is the Grand Canyon at its deepest?</t>
        </is>
      </c>
      <c r="F1368" s="42" t="n">
        <v>1800</v>
      </c>
      <c r="G1368" s="33" t="inlineStr">
        <is>
          <t>metres</t>
        </is>
      </c>
      <c r="H1368" s="35" t="inlineStr">
        <is>
          <t>Medium</t>
        </is>
      </c>
      <c r="I1368" s="33" t="inlineStr">
        <is>
          <t>US National Park Service</t>
        </is>
      </c>
      <c r="J1368" s="35" t="n"/>
      <c r="K1368" s="33" t="inlineStr">
        <is>
          <t>Added Oct 2026. Spot check before this day goes live.</t>
        </is>
      </c>
      <c r="L1368" s="35">
        <f>COUNTIFS($A$2:$A$1501,A1368,$D$2:$D$1501,D1368)</f>
        <v/>
      </c>
    </row>
    <row r="1369">
      <c r="A1369" s="35" t="n">
        <v>274</v>
      </c>
      <c r="B1369" s="41" t="n">
        <v>46573</v>
      </c>
      <c r="C1369" s="35" t="n">
        <v>3</v>
      </c>
      <c r="D1369" s="33" t="inlineStr">
        <is>
          <t>Sports</t>
        </is>
      </c>
      <c r="E1369" s="36" t="inlineStr">
        <is>
          <t>How many goals did Pelé score in his career, by Guinness World Records' count?</t>
        </is>
      </c>
      <c r="F1369" s="42" t="n">
        <v>1279</v>
      </c>
      <c r="G1369" s="33" t="inlineStr">
        <is>
          <t>goals</t>
        </is>
      </c>
      <c r="H1369" s="35" t="inlineStr">
        <is>
          <t>Hard</t>
        </is>
      </c>
      <c r="I1369" s="33" t="inlineStr">
        <is>
          <t>Guinness World Records</t>
        </is>
      </c>
      <c r="J1369" s="35" t="n"/>
      <c r="K1369" s="33" t="inlineStr">
        <is>
          <t>Added Oct 2026. Spot check before this day goes live.</t>
        </is>
      </c>
      <c r="L1369" s="35">
        <f>COUNTIFS($A$2:$A$1501,A1369,$D$2:$D$1501,D1369)</f>
        <v/>
      </c>
    </row>
    <row r="1370">
      <c r="A1370" s="35" t="n">
        <v>274</v>
      </c>
      <c r="B1370" s="41" t="n">
        <v>46573</v>
      </c>
      <c r="C1370" s="35" t="n">
        <v>4</v>
      </c>
      <c r="D1370" s="33" t="inlineStr">
        <is>
          <t>Space and Science</t>
        </is>
      </c>
      <c r="E1370" s="36" t="inlineStr">
        <is>
          <t>How many elements occur naturally on Earth?</t>
        </is>
      </c>
      <c r="F1370" s="42" t="n">
        <v>94</v>
      </c>
      <c r="G1370" s="33" t="inlineStr">
        <is>
          <t>elements</t>
        </is>
      </c>
      <c r="H1370" s="35" t="inlineStr">
        <is>
          <t>Hard</t>
        </is>
      </c>
      <c r="I1370" s="33" t="inlineStr">
        <is>
          <t>Royal Society of Chemistry</t>
        </is>
      </c>
      <c r="J1370" s="35" t="n"/>
      <c r="K1370" s="33" t="inlineStr">
        <is>
          <t>Added Oct 2026. Spot check before this day goes live.</t>
        </is>
      </c>
      <c r="L1370" s="35">
        <f>COUNTIFS($A$2:$A$1501,A1370,$D$2:$D$1501,D1370)</f>
        <v/>
      </c>
    </row>
    <row r="1371">
      <c r="A1371" s="35" t="n">
        <v>274</v>
      </c>
      <c r="B1371" s="41" t="n">
        <v>46573</v>
      </c>
      <c r="C1371" s="35" t="n">
        <v>5</v>
      </c>
      <c r="D1371" s="33" t="inlineStr">
        <is>
          <t>Distance of the Day</t>
        </is>
      </c>
      <c r="E1371" s="36" t="inlineStr">
        <is>
          <t>How far is it in a straight line from Winnipeg to Denver?</t>
        </is>
      </c>
      <c r="F1371" s="42" t="n">
        <v>1290</v>
      </c>
      <c r="G1371" s="33" t="inlineStr">
        <is>
          <t>km</t>
        </is>
      </c>
      <c r="H1371" s="35" t="inlineStr">
        <is>
          <t>Easy</t>
        </is>
      </c>
      <c r="I1371" s="33" t="inlineStr">
        <is>
          <t>Computed great-circle distance (city centre to city centre)</t>
        </is>
      </c>
      <c r="J1371" s="35" t="n"/>
      <c r="K1371" s="33" t="n"/>
      <c r="L1371" s="35">
        <f>COUNTIFS($A$2:$A$1501,A1371,$D$2:$D$1501,D1371)</f>
        <v/>
      </c>
    </row>
    <row r="1372">
      <c r="A1372" s="35" t="n">
        <v>275</v>
      </c>
      <c r="B1372" s="41" t="n">
        <v>46574</v>
      </c>
      <c r="C1372" s="35" t="n">
        <v>1</v>
      </c>
      <c r="D1372" s="33" t="inlineStr">
        <is>
          <t>Food and Everyday Life</t>
        </is>
      </c>
      <c r="E1372" s="36" t="inlineStr">
        <is>
          <t>How many millilitres are in a metric cup?</t>
        </is>
      </c>
      <c r="F1372" s="42" t="n">
        <v>250</v>
      </c>
      <c r="G1372" s="33" t="inlineStr">
        <is>
          <t>mL</t>
        </is>
      </c>
      <c r="H1372" s="35" t="inlineStr">
        <is>
          <t>Easy</t>
        </is>
      </c>
      <c r="I1372" s="33" t="inlineStr">
        <is>
          <t>Health Canada</t>
        </is>
      </c>
      <c r="J1372" s="35" t="n"/>
      <c r="K1372" s="33" t="inlineStr">
        <is>
          <t>Added Oct 2026. Spot check before this day goes live.</t>
        </is>
      </c>
      <c r="L1372" s="35">
        <f>COUNTIFS($A$2:$A$1501,A1372,$D$2:$D$1501,D1372)</f>
        <v/>
      </c>
    </row>
    <row r="1373">
      <c r="A1373" s="35" t="n">
        <v>275</v>
      </c>
      <c r="B1373" s="41" t="n">
        <v>46574</v>
      </c>
      <c r="C1373" s="35" t="n">
        <v>2</v>
      </c>
      <c r="D1373" s="33" t="inlineStr">
        <is>
          <t>Movies, Music and Games</t>
        </is>
      </c>
      <c r="E1373" s="36" t="inlineStr">
        <is>
          <t>How many dots are on a standard six-sided die in total?</t>
        </is>
      </c>
      <c r="F1373" s="42" t="n">
        <v>21</v>
      </c>
      <c r="G1373" s="33" t="inlineStr">
        <is>
          <t>dots</t>
        </is>
      </c>
      <c r="H1373" s="35" t="inlineStr">
        <is>
          <t>Medium</t>
        </is>
      </c>
      <c r="I1373" s="33" t="inlineStr">
        <is>
          <t>Britannica</t>
        </is>
      </c>
      <c r="J1373" s="35" t="n"/>
      <c r="K1373" s="33" t="inlineStr">
        <is>
          <t>Added Oct 2026. Spot check before this day goes live.</t>
        </is>
      </c>
      <c r="L1373" s="35">
        <f>COUNTIFS($A$2:$A$1501,A1373,$D$2:$D$1501,D1373)</f>
        <v/>
      </c>
    </row>
    <row r="1374">
      <c r="A1374" s="35" t="n">
        <v>275</v>
      </c>
      <c r="B1374" s="41" t="n">
        <v>46574</v>
      </c>
      <c r="C1374" s="35" t="n">
        <v>3</v>
      </c>
      <c r="D1374" s="33" t="inlineStr">
        <is>
          <t>Human Body</t>
        </is>
      </c>
      <c r="E1374" s="36" t="inlineStr">
        <is>
          <t>How many muscles are in the human body?</t>
        </is>
      </c>
      <c r="F1374" s="42" t="n">
        <v>600</v>
      </c>
      <c r="G1374" s="33" t="inlineStr">
        <is>
          <t>muscles</t>
        </is>
      </c>
      <c r="H1374" s="35" t="inlineStr">
        <is>
          <t>Medium</t>
        </is>
      </c>
      <c r="I1374" s="33" t="inlineStr">
        <is>
          <t>Cleveland Clinic</t>
        </is>
      </c>
      <c r="J1374" s="35" t="n"/>
      <c r="K1374" s="33" t="inlineStr">
        <is>
          <t>Added Oct 2026. Spot check before this day goes live.</t>
        </is>
      </c>
      <c r="L1374" s="35">
        <f>COUNTIFS($A$2:$A$1501,A1374,$D$2:$D$1501,D1374)</f>
        <v/>
      </c>
    </row>
    <row r="1375">
      <c r="A1375" s="35" t="n">
        <v>275</v>
      </c>
      <c r="B1375" s="41" t="n">
        <v>46574</v>
      </c>
      <c r="C1375" s="35" t="n">
        <v>4</v>
      </c>
      <c r="D1375" s="33" t="inlineStr">
        <is>
          <t>Buildings and Engineering</t>
        </is>
      </c>
      <c r="E1375" s="36" t="inlineStr">
        <is>
          <t>How tall is the Sydney Harbour Bridge at the top of its arch?</t>
        </is>
      </c>
      <c r="F1375" s="42" t="n">
        <v>134</v>
      </c>
      <c r="G1375" s="33" t="inlineStr">
        <is>
          <t>metres</t>
        </is>
      </c>
      <c r="H1375" s="35" t="inlineStr">
        <is>
          <t>Hard</t>
        </is>
      </c>
      <c r="I1375" s="33" t="inlineStr">
        <is>
          <t>NSW Government</t>
        </is>
      </c>
      <c r="J1375" s="35" t="n"/>
      <c r="K1375" s="33" t="inlineStr">
        <is>
          <t>Added Oct 2026. Spot check before this day goes live.</t>
        </is>
      </c>
      <c r="L1375" s="35">
        <f>COUNTIFS($A$2:$A$1501,A1375,$D$2:$D$1501,D1375)</f>
        <v/>
      </c>
    </row>
    <row r="1376">
      <c r="A1376" s="35" t="n">
        <v>275</v>
      </c>
      <c r="B1376" s="41" t="n">
        <v>46574</v>
      </c>
      <c r="C1376" s="35" t="n">
        <v>5</v>
      </c>
      <c r="D1376" s="33" t="inlineStr">
        <is>
          <t>Distance of the Day</t>
        </is>
      </c>
      <c r="E1376" s="36" t="inlineStr">
        <is>
          <t>How far is it in a straight line from Nashville to Nairobi?</t>
        </is>
      </c>
      <c r="F1376" s="42" t="n">
        <v>13050</v>
      </c>
      <c r="G1376" s="33" t="inlineStr">
        <is>
          <t>km</t>
        </is>
      </c>
      <c r="H1376" s="35" t="inlineStr">
        <is>
          <t>Hard</t>
        </is>
      </c>
      <c r="I1376" s="33" t="inlineStr">
        <is>
          <t>Computed great-circle distance (city centre to city centre)</t>
        </is>
      </c>
      <c r="J1376" s="35" t="n"/>
      <c r="K1376" s="33" t="n"/>
      <c r="L1376" s="35">
        <f>COUNTIFS($A$2:$A$1501,A1376,$D$2:$D$1501,D1376)</f>
        <v/>
      </c>
    </row>
    <row r="1377">
      <c r="A1377" s="35" t="n">
        <v>276</v>
      </c>
      <c r="B1377" s="41" t="n">
        <v>46575</v>
      </c>
      <c r="C1377" s="35" t="n">
        <v>1</v>
      </c>
      <c r="D1377" s="33" t="inlineStr">
        <is>
          <t>Space and Science</t>
        </is>
      </c>
      <c r="E1377" s="36" t="inlineStr">
        <is>
          <t>How many Apollo missions landed people on the Moon?</t>
        </is>
      </c>
      <c r="F1377" s="42" t="n">
        <v>6</v>
      </c>
      <c r="G1377" s="33" t="inlineStr">
        <is>
          <t>missions</t>
        </is>
      </c>
      <c r="H1377" s="35" t="inlineStr">
        <is>
          <t>Easy</t>
        </is>
      </c>
      <c r="I1377" s="33" t="inlineStr">
        <is>
          <t>NASA</t>
        </is>
      </c>
      <c r="J1377" s="35" t="n"/>
      <c r="K1377" s="33" t="inlineStr">
        <is>
          <t>Added Oct 2026. Spot check before this day goes live.</t>
        </is>
      </c>
      <c r="L1377" s="35">
        <f>COUNTIFS($A$2:$A$1501,A1377,$D$2:$D$1501,D1377)</f>
        <v/>
      </c>
    </row>
    <row r="1378">
      <c r="A1378" s="35" t="n">
        <v>276</v>
      </c>
      <c r="B1378" s="41" t="n">
        <v>46575</v>
      </c>
      <c r="C1378" s="35" t="n">
        <v>2</v>
      </c>
      <c r="D1378" s="33" t="inlineStr">
        <is>
          <t>Animals and Nature</t>
        </is>
      </c>
      <c r="E1378" s="36" t="inlineStr">
        <is>
          <t>How fast can a grizzly bear run?</t>
        </is>
      </c>
      <c r="F1378" s="42" t="n">
        <v>56</v>
      </c>
      <c r="G1378" s="33" t="inlineStr">
        <is>
          <t>km/h</t>
        </is>
      </c>
      <c r="H1378" s="35" t="inlineStr">
        <is>
          <t>Medium</t>
        </is>
      </c>
      <c r="I1378" s="33" t="inlineStr">
        <is>
          <t>US National Park Service</t>
        </is>
      </c>
      <c r="J1378" s="35" t="n"/>
      <c r="K1378" s="33" t="inlineStr">
        <is>
          <t>Added Oct 2026. Spot check before this day goes live.</t>
        </is>
      </c>
      <c r="L1378" s="35">
        <f>COUNTIFS($A$2:$A$1501,A1378,$D$2:$D$1501,D1378)</f>
        <v/>
      </c>
    </row>
    <row r="1379">
      <c r="A1379" s="35" t="n">
        <v>276</v>
      </c>
      <c r="B1379" s="41" t="n">
        <v>46575</v>
      </c>
      <c r="C1379" s="35" t="n">
        <v>3</v>
      </c>
      <c r="D1379" s="33" t="inlineStr">
        <is>
          <t>Sports</t>
        </is>
      </c>
      <c r="E1379" s="36" t="inlineStr">
        <is>
          <t>How far did Bob Beamon jump in his famous 1968 Olympic long jump?</t>
        </is>
      </c>
      <c r="F1379" s="42" t="n">
        <v>8.9</v>
      </c>
      <c r="G1379" s="33" t="inlineStr">
        <is>
          <t>metres</t>
        </is>
      </c>
      <c r="H1379" s="35" t="inlineStr">
        <is>
          <t>Hard</t>
        </is>
      </c>
      <c r="I1379" s="33" t="inlineStr">
        <is>
          <t>World Athletics</t>
        </is>
      </c>
      <c r="J1379" s="35" t="n"/>
      <c r="K1379" s="33" t="inlineStr">
        <is>
          <t>Added Oct 2026. Spot check before this day goes live.</t>
        </is>
      </c>
      <c r="L1379" s="35">
        <f>COUNTIFS($A$2:$A$1501,A1379,$D$2:$D$1501,D1379)</f>
        <v/>
      </c>
    </row>
    <row r="1380">
      <c r="A1380" s="35" t="n">
        <v>276</v>
      </c>
      <c r="B1380" s="41" t="n">
        <v>46575</v>
      </c>
      <c r="C1380" s="35" t="n">
        <v>4</v>
      </c>
      <c r="D1380" s="33" t="inlineStr">
        <is>
          <t>Canada</t>
        </is>
      </c>
      <c r="E1380" s="36" t="inlineStr">
        <is>
          <t>How many Canadian casualties were there at Vimy Ridge?</t>
        </is>
      </c>
      <c r="F1380" s="42" t="n">
        <v>10602</v>
      </c>
      <c r="G1380" s="33" t="inlineStr">
        <is>
          <t>casualties</t>
        </is>
      </c>
      <c r="H1380" s="35" t="inlineStr">
        <is>
          <t>Hard</t>
        </is>
      </c>
      <c r="I1380" s="33" t="inlineStr">
        <is>
          <t>Veterans Affairs Canada</t>
        </is>
      </c>
      <c r="J1380" s="35" t="n"/>
      <c r="K1380" s="33" t="inlineStr">
        <is>
          <t>Added Oct 2026. Spot check before this day goes live.</t>
        </is>
      </c>
      <c r="L1380" s="35">
        <f>COUNTIFS($A$2:$A$1501,A1380,$D$2:$D$1501,D1380)</f>
        <v/>
      </c>
    </row>
    <row r="1381">
      <c r="A1381" s="35" t="n">
        <v>276</v>
      </c>
      <c r="B1381" s="41" t="n">
        <v>46575</v>
      </c>
      <c r="C1381" s="35" t="n">
        <v>5</v>
      </c>
      <c r="D1381" s="33" t="inlineStr">
        <is>
          <t>Distance of the Day</t>
        </is>
      </c>
      <c r="E1381" s="36" t="inlineStr">
        <is>
          <t>How far is it in a straight line from Reykjavik to Zurich?</t>
        </is>
      </c>
      <c r="F1381" s="42" t="n">
        <v>2620</v>
      </c>
      <c r="G1381" s="33" t="inlineStr">
        <is>
          <t>km</t>
        </is>
      </c>
      <c r="H1381" s="35" t="inlineStr">
        <is>
          <t>Medium</t>
        </is>
      </c>
      <c r="I1381" s="33" t="inlineStr">
        <is>
          <t>Computed great-circle distance (city centre to city centre)</t>
        </is>
      </c>
      <c r="J1381" s="35" t="n"/>
      <c r="K1381" s="33" t="n"/>
      <c r="L1381" s="35">
        <f>COUNTIFS($A$2:$A$1501,A1381,$D$2:$D$1501,D1381)</f>
        <v/>
      </c>
    </row>
    <row r="1382">
      <c r="A1382" s="35" t="n">
        <v>277</v>
      </c>
      <c r="B1382" s="41" t="n">
        <v>46576</v>
      </c>
      <c r="C1382" s="35" t="n">
        <v>1</v>
      </c>
      <c r="D1382" s="33" t="inlineStr">
        <is>
          <t>Human Body</t>
        </is>
      </c>
      <c r="E1382" s="36" t="inlineStr">
        <is>
          <t>How many litres of blood does an adult have?</t>
        </is>
      </c>
      <c r="F1382" s="42" t="n">
        <v>5</v>
      </c>
      <c r="G1382" s="33" t="inlineStr">
        <is>
          <t>litres</t>
        </is>
      </c>
      <c r="H1382" s="35" t="inlineStr">
        <is>
          <t>Easy</t>
        </is>
      </c>
      <c r="I1382" s="33" t="inlineStr">
        <is>
          <t>Canadian Blood Services</t>
        </is>
      </c>
      <c r="J1382" s="35" t="n"/>
      <c r="K1382" s="33" t="inlineStr">
        <is>
          <t>Added Oct 2026. Spot check before this day goes live.</t>
        </is>
      </c>
      <c r="L1382" s="35">
        <f>COUNTIFS($A$2:$A$1501,A1382,$D$2:$D$1501,D1382)</f>
        <v/>
      </c>
    </row>
    <row r="1383">
      <c r="A1383" s="35" t="n">
        <v>277</v>
      </c>
      <c r="B1383" s="41" t="n">
        <v>46576</v>
      </c>
      <c r="C1383" s="35" t="n">
        <v>2</v>
      </c>
      <c r="D1383" s="33" t="inlineStr">
        <is>
          <t>Geography</t>
        </is>
      </c>
      <c r="E1383" s="36" t="inlineStr">
        <is>
          <t>How long is the Amazon River?</t>
        </is>
      </c>
      <c r="F1383" s="42" t="n">
        <v>6400</v>
      </c>
      <c r="G1383" s="33" t="inlineStr">
        <is>
          <t>km</t>
        </is>
      </c>
      <c r="H1383" s="35" t="inlineStr">
        <is>
          <t>Medium</t>
        </is>
      </c>
      <c r="I1383" s="33" t="inlineStr">
        <is>
          <t>Britannica</t>
        </is>
      </c>
      <c r="J1383" s="35" t="n"/>
      <c r="K1383" s="33" t="inlineStr">
        <is>
          <t>Added Oct 2026. Spot check before this day goes live.</t>
        </is>
      </c>
      <c r="L1383" s="35">
        <f>COUNTIFS($A$2:$A$1501,A1383,$D$2:$D$1501,D1383)</f>
        <v/>
      </c>
    </row>
    <row r="1384">
      <c r="A1384" s="35" t="n">
        <v>277</v>
      </c>
      <c r="B1384" s="41" t="n">
        <v>46576</v>
      </c>
      <c r="C1384" s="35" t="n">
        <v>3</v>
      </c>
      <c r="D1384" s="33" t="inlineStr">
        <is>
          <t>Movies, Music and Games</t>
        </is>
      </c>
      <c r="E1384" s="36" t="inlineStr">
        <is>
          <t>How long is Frozen (2013)?</t>
        </is>
      </c>
      <c r="F1384" s="42" t="n">
        <v>102</v>
      </c>
      <c r="G1384" s="33" t="inlineStr">
        <is>
          <t>minutes</t>
        </is>
      </c>
      <c r="H1384" s="35" t="inlineStr">
        <is>
          <t>Medium</t>
        </is>
      </c>
      <c r="I1384" s="33" t="inlineStr">
        <is>
          <t>IMDb</t>
        </is>
      </c>
      <c r="J1384" s="35" t="n"/>
      <c r="K1384" s="33" t="inlineStr">
        <is>
          <t>Added Oct 2026. Spot check before this day goes live.</t>
        </is>
      </c>
      <c r="L1384" s="35">
        <f>COUNTIFS($A$2:$A$1501,A1384,$D$2:$D$1501,D1384)</f>
        <v/>
      </c>
    </row>
    <row r="1385">
      <c r="A1385" s="35" t="n">
        <v>277</v>
      </c>
      <c r="B1385" s="41" t="n">
        <v>46576</v>
      </c>
      <c r="C1385" s="35" t="n">
        <v>4</v>
      </c>
      <c r="D1385" s="33" t="inlineStr">
        <is>
          <t>Buildings and Engineering</t>
        </is>
      </c>
      <c r="E1385" s="36" t="inlineStr">
        <is>
          <t>How tall is Cologne Cathedral?</t>
        </is>
      </c>
      <c r="F1385" s="42" t="n">
        <v>157</v>
      </c>
      <c r="G1385" s="33" t="inlineStr">
        <is>
          <t>metres</t>
        </is>
      </c>
      <c r="H1385" s="35" t="inlineStr">
        <is>
          <t>Hard</t>
        </is>
      </c>
      <c r="I1385" s="33" t="inlineStr">
        <is>
          <t>Cologne Cathedral</t>
        </is>
      </c>
      <c r="J1385" s="35" t="n"/>
      <c r="K1385" s="33" t="inlineStr">
        <is>
          <t>Added Oct 2026. Spot check before this day goes live.</t>
        </is>
      </c>
      <c r="L1385" s="35">
        <f>COUNTIFS($A$2:$A$1501,A1385,$D$2:$D$1501,D1385)</f>
        <v/>
      </c>
    </row>
    <row r="1386">
      <c r="A1386" s="35" t="n">
        <v>277</v>
      </c>
      <c r="B1386" s="41" t="n">
        <v>46576</v>
      </c>
      <c r="C1386" s="35" t="n">
        <v>5</v>
      </c>
      <c r="D1386" s="33" t="inlineStr">
        <is>
          <t>Distance of the Day</t>
        </is>
      </c>
      <c r="E1386" s="36" t="inlineStr">
        <is>
          <t>How far is it in a straight line from Chicago to Washington, D.C.?</t>
        </is>
      </c>
      <c r="F1386" s="42" t="n">
        <v>960</v>
      </c>
      <c r="G1386" s="33" t="inlineStr">
        <is>
          <t>km</t>
        </is>
      </c>
      <c r="H1386" s="35" t="inlineStr">
        <is>
          <t>Easy</t>
        </is>
      </c>
      <c r="I1386" s="33" t="inlineStr">
        <is>
          <t>Computed great-circle distance (city centre to city centre)</t>
        </is>
      </c>
      <c r="J1386" s="35" t="n"/>
      <c r="K1386" s="33" t="n"/>
      <c r="L1386" s="35">
        <f>COUNTIFS($A$2:$A$1501,A1386,$D$2:$D$1501,D1386)</f>
        <v/>
      </c>
    </row>
    <row r="1387">
      <c r="A1387" s="35" t="n">
        <v>278</v>
      </c>
      <c r="B1387" s="41" t="n">
        <v>46577</v>
      </c>
      <c r="C1387" s="35" t="n">
        <v>1</v>
      </c>
      <c r="D1387" s="33" t="inlineStr">
        <is>
          <t>History</t>
        </is>
      </c>
      <c r="E1387" s="36" t="inlineStr">
        <is>
          <t>How many minutes did the Anglo-Zanzibar War, the shortest war in history, last?</t>
        </is>
      </c>
      <c r="F1387" s="42" t="n">
        <v>38</v>
      </c>
      <c r="G1387" s="33" t="inlineStr">
        <is>
          <t>minutes</t>
        </is>
      </c>
      <c r="H1387" s="35" t="inlineStr">
        <is>
          <t>Medium</t>
        </is>
      </c>
      <c r="I1387" s="33" t="inlineStr">
        <is>
          <t>Guinness World Records</t>
        </is>
      </c>
      <c r="J1387" s="35" t="n"/>
      <c r="K1387" s="33" t="inlineStr">
        <is>
          <t>Added Oct 2026. Spot check before this day goes live.</t>
        </is>
      </c>
      <c r="L1387" s="35">
        <f>COUNTIFS($A$2:$A$1501,A1387,$D$2:$D$1501,D1387)</f>
        <v/>
      </c>
    </row>
    <row r="1388">
      <c r="A1388" s="35" t="n">
        <v>278</v>
      </c>
      <c r="B1388" s="41" t="n">
        <v>46577</v>
      </c>
      <c r="C1388" s="35" t="n">
        <v>2</v>
      </c>
      <c r="D1388" s="33" t="inlineStr">
        <is>
          <t>Food and Everyday Life</t>
        </is>
      </c>
      <c r="E1388" s="36" t="inlineStr">
        <is>
          <t>How many calories are in one gram of fat?</t>
        </is>
      </c>
      <c r="F1388" s="42" t="n">
        <v>9</v>
      </c>
      <c r="G1388" s="33" t="inlineStr">
        <is>
          <t>calories</t>
        </is>
      </c>
      <c r="H1388" s="35" t="inlineStr">
        <is>
          <t>Medium</t>
        </is>
      </c>
      <c r="I1388" s="33" t="inlineStr">
        <is>
          <t>Health Canada</t>
        </is>
      </c>
      <c r="J1388" s="35" t="n"/>
      <c r="K1388" s="33" t="inlineStr">
        <is>
          <t>Added Oct 2026. Spot check before this day goes live.</t>
        </is>
      </c>
      <c r="L1388" s="35">
        <f>COUNTIFS($A$2:$A$1501,A1388,$D$2:$D$1501,D1388)</f>
        <v/>
      </c>
    </row>
    <row r="1389">
      <c r="A1389" s="35" t="n">
        <v>278</v>
      </c>
      <c r="B1389" s="41" t="n">
        <v>46577</v>
      </c>
      <c r="C1389" s="35" t="n">
        <v>3</v>
      </c>
      <c r="D1389" s="33" t="inlineStr">
        <is>
          <t>Canada</t>
        </is>
      </c>
      <c r="E1389" s="36" t="inlineStr">
        <is>
          <t>How tall is the tower of Montreal's Olympic Stadium?</t>
        </is>
      </c>
      <c r="F1389" s="42" t="n">
        <v>165</v>
      </c>
      <c r="G1389" s="33" t="inlineStr">
        <is>
          <t>metres</t>
        </is>
      </c>
      <c r="H1389" s="35" t="inlineStr">
        <is>
          <t>Hard</t>
        </is>
      </c>
      <c r="I1389" s="33" t="inlineStr">
        <is>
          <t>Parc olympique</t>
        </is>
      </c>
      <c r="J1389" s="35" t="n"/>
      <c r="K1389" s="33" t="inlineStr">
        <is>
          <t>Added Oct 2026. Spot check before this day goes live.</t>
        </is>
      </c>
      <c r="L1389" s="35">
        <f>COUNTIFS($A$2:$A$1501,A1389,$D$2:$D$1501,D1389)</f>
        <v/>
      </c>
    </row>
    <row r="1390">
      <c r="A1390" s="35" t="n">
        <v>278</v>
      </c>
      <c r="B1390" s="41" t="n">
        <v>46577</v>
      </c>
      <c r="C1390" s="35" t="n">
        <v>4</v>
      </c>
      <c r="D1390" s="33" t="inlineStr">
        <is>
          <t>Sports</t>
        </is>
      </c>
      <c r="E1390" s="36" t="inlineStr">
        <is>
          <t>How many batters did Nolan Ryan strike out in his MLB career?</t>
        </is>
      </c>
      <c r="F1390" s="42" t="n">
        <v>5714</v>
      </c>
      <c r="G1390" s="33" t="inlineStr">
        <is>
          <t>strikeouts</t>
        </is>
      </c>
      <c r="H1390" s="35" t="inlineStr">
        <is>
          <t>Hard</t>
        </is>
      </c>
      <c r="I1390" s="33" t="inlineStr">
        <is>
          <t>MLB.com</t>
        </is>
      </c>
      <c r="J1390" s="35" t="n"/>
      <c r="K1390" s="33" t="inlineStr">
        <is>
          <t>Added Oct 2026. Spot check before this day goes live.</t>
        </is>
      </c>
      <c r="L1390" s="35">
        <f>COUNTIFS($A$2:$A$1501,A1390,$D$2:$D$1501,D1390)</f>
        <v/>
      </c>
    </row>
    <row r="1391">
      <c r="A1391" s="35" t="n">
        <v>278</v>
      </c>
      <c r="B1391" s="41" t="n">
        <v>46577</v>
      </c>
      <c r="C1391" s="35" t="n">
        <v>5</v>
      </c>
      <c r="D1391" s="33" t="inlineStr">
        <is>
          <t>Distance of the Day</t>
        </is>
      </c>
      <c r="E1391" s="36" t="inlineStr">
        <is>
          <t>How far is it in a straight line from Halifax to Mexico City?</t>
        </is>
      </c>
      <c r="F1391" s="42" t="n">
        <v>4310</v>
      </c>
      <c r="G1391" s="33" t="inlineStr">
        <is>
          <t>km</t>
        </is>
      </c>
      <c r="H1391" s="35" t="inlineStr">
        <is>
          <t>Medium</t>
        </is>
      </c>
      <c r="I1391" s="33" t="inlineStr">
        <is>
          <t>Computed great-circle distance (city centre to city centre)</t>
        </is>
      </c>
      <c r="J1391" s="35" t="n"/>
      <c r="K1391" s="33" t="n"/>
      <c r="L1391" s="35">
        <f>COUNTIFS($A$2:$A$1501,A1391,$D$2:$D$1501,D1391)</f>
        <v/>
      </c>
    </row>
    <row r="1392">
      <c r="A1392" s="35" t="n">
        <v>279</v>
      </c>
      <c r="B1392" s="41" t="n">
        <v>46578</v>
      </c>
      <c r="C1392" s="35" t="n">
        <v>1</v>
      </c>
      <c r="D1392" s="33" t="inlineStr">
        <is>
          <t>Animals and Nature</t>
        </is>
      </c>
      <c r="E1392" s="36" t="inlineStr">
        <is>
          <t>How many legs does a lobster have?</t>
        </is>
      </c>
      <c r="F1392" s="42" t="n">
        <v>10</v>
      </c>
      <c r="G1392" s="33" t="inlineStr">
        <is>
          <t>legs</t>
        </is>
      </c>
      <c r="H1392" s="35" t="inlineStr">
        <is>
          <t>Easy</t>
        </is>
      </c>
      <c r="I1392" s="33" t="inlineStr">
        <is>
          <t>NOAA Fisheries</t>
        </is>
      </c>
      <c r="J1392" s="35" t="n"/>
      <c r="K1392" s="33" t="inlineStr">
        <is>
          <t>Added Oct 2026. Spot check before this day goes live.</t>
        </is>
      </c>
      <c r="L1392" s="35">
        <f>COUNTIFS($A$2:$A$1501,A1392,$D$2:$D$1501,D1392)</f>
        <v/>
      </c>
    </row>
    <row r="1393">
      <c r="A1393" s="35" t="n">
        <v>279</v>
      </c>
      <c r="B1393" s="41" t="n">
        <v>46578</v>
      </c>
      <c r="C1393" s="35" t="n">
        <v>2</v>
      </c>
      <c r="D1393" s="33" t="inlineStr">
        <is>
          <t>Movies, Music and Games</t>
        </is>
      </c>
      <c r="E1393" s="36" t="inlineStr">
        <is>
          <t>How long is Casablanca?</t>
        </is>
      </c>
      <c r="F1393" s="42" t="n">
        <v>102</v>
      </c>
      <c r="G1393" s="33" t="inlineStr">
        <is>
          <t>minutes</t>
        </is>
      </c>
      <c r="H1393" s="35" t="inlineStr">
        <is>
          <t>Medium</t>
        </is>
      </c>
      <c r="I1393" s="33" t="inlineStr">
        <is>
          <t>IMDb</t>
        </is>
      </c>
      <c r="J1393" s="35" t="n"/>
      <c r="K1393" s="33" t="inlineStr">
        <is>
          <t>Added Oct 2026. Spot check before this day goes live.</t>
        </is>
      </c>
      <c r="L1393" s="35">
        <f>COUNTIFS($A$2:$A$1501,A1393,$D$2:$D$1501,D1393)</f>
        <v/>
      </c>
    </row>
    <row r="1394">
      <c r="A1394" s="35" t="n">
        <v>279</v>
      </c>
      <c r="B1394" s="41" t="n">
        <v>46578</v>
      </c>
      <c r="C1394" s="35" t="n">
        <v>3</v>
      </c>
      <c r="D1394" s="33" t="inlineStr">
        <is>
          <t>Buildings and Engineering</t>
        </is>
      </c>
      <c r="E1394" s="36" t="inlineStr">
        <is>
          <t>How long is Interstate 90, the longest US interstate?</t>
        </is>
      </c>
      <c r="F1394" s="42" t="n">
        <v>4860</v>
      </c>
      <c r="G1394" s="33" t="inlineStr">
        <is>
          <t>km</t>
        </is>
      </c>
      <c r="H1394" s="35" t="inlineStr">
        <is>
          <t>Hard</t>
        </is>
      </c>
      <c r="I1394" s="33" t="inlineStr">
        <is>
          <t>US Federal Highway Administration</t>
        </is>
      </c>
      <c r="J1394" s="35" t="n"/>
      <c r="K1394" s="33" t="inlineStr">
        <is>
          <t>Added Oct 2026. Spot check before this day goes live.</t>
        </is>
      </c>
      <c r="L1394" s="35">
        <f>COUNTIFS($A$2:$A$1501,A1394,$D$2:$D$1501,D1394)</f>
        <v/>
      </c>
    </row>
    <row r="1395">
      <c r="A1395" s="35" t="n">
        <v>279</v>
      </c>
      <c r="B1395" s="41" t="n">
        <v>46578</v>
      </c>
      <c r="C1395" s="35" t="n">
        <v>4</v>
      </c>
      <c r="D1395" s="33" t="inlineStr">
        <is>
          <t>Space and Science</t>
        </is>
      </c>
      <c r="E1395" s="36" t="inlineStr">
        <is>
          <t>How close can Mars get to Earth, at its closest possible approach?</t>
        </is>
      </c>
      <c r="F1395" s="42" t="n">
        <v>54.6</v>
      </c>
      <c r="G1395" s="33" t="inlineStr">
        <is>
          <t>million km</t>
        </is>
      </c>
      <c r="H1395" s="35" t="inlineStr">
        <is>
          <t>Hard</t>
        </is>
      </c>
      <c r="I1395" s="33" t="inlineStr">
        <is>
          <t>NASA</t>
        </is>
      </c>
      <c r="J1395" s="35" t="n"/>
      <c r="K1395" s="33" t="inlineStr">
        <is>
          <t>Added Oct 2026. Spot check before this day goes live.</t>
        </is>
      </c>
      <c r="L1395" s="35">
        <f>COUNTIFS($A$2:$A$1501,A1395,$D$2:$D$1501,D1395)</f>
        <v/>
      </c>
    </row>
    <row r="1396">
      <c r="A1396" s="35" t="n">
        <v>279</v>
      </c>
      <c r="B1396" s="41" t="n">
        <v>46578</v>
      </c>
      <c r="C1396" s="35" t="n">
        <v>5</v>
      </c>
      <c r="D1396" s="33" t="inlineStr">
        <is>
          <t>Distance of the Day</t>
        </is>
      </c>
      <c r="E1396" s="36" t="inlineStr">
        <is>
          <t>How far is it in a straight line from Ottawa to Nairobi?</t>
        </is>
      </c>
      <c r="F1396" s="42" t="n">
        <v>11850</v>
      </c>
      <c r="G1396" s="33" t="inlineStr">
        <is>
          <t>km</t>
        </is>
      </c>
      <c r="H1396" s="35" t="inlineStr">
        <is>
          <t>Hard</t>
        </is>
      </c>
      <c r="I1396" s="33" t="inlineStr">
        <is>
          <t>Computed great-circle distance (city centre to city centre)</t>
        </is>
      </c>
      <c r="J1396" s="35" t="n"/>
      <c r="K1396" s="33" t="n"/>
      <c r="L1396" s="35">
        <f>COUNTIFS($A$2:$A$1501,A1396,$D$2:$D$1501,D1396)</f>
        <v/>
      </c>
    </row>
    <row r="1397">
      <c r="A1397" s="35" t="n">
        <v>280</v>
      </c>
      <c r="B1397" s="41" t="n">
        <v>46579</v>
      </c>
      <c r="C1397" s="35" t="n">
        <v>1</v>
      </c>
      <c r="D1397" s="33" t="inlineStr">
        <is>
          <t>Human Body</t>
        </is>
      </c>
      <c r="E1397" s="36" t="inlineStr">
        <is>
          <t>What is normal human body temperature?</t>
        </is>
      </c>
      <c r="F1397" s="42" t="n">
        <v>37</v>
      </c>
      <c r="G1397" s="33" t="inlineStr">
        <is>
          <t>°C</t>
        </is>
      </c>
      <c r="H1397" s="35" t="inlineStr">
        <is>
          <t>Easy</t>
        </is>
      </c>
      <c r="I1397" s="33" t="inlineStr">
        <is>
          <t>Mayo Clinic</t>
        </is>
      </c>
      <c r="J1397" s="35" t="n"/>
      <c r="K1397" s="33" t="inlineStr">
        <is>
          <t>Added Oct 2026. Spot check before this day goes live.</t>
        </is>
      </c>
      <c r="L1397" s="35">
        <f>COUNTIFS($A$2:$A$1501,A1397,$D$2:$D$1501,D1397)</f>
        <v/>
      </c>
    </row>
    <row r="1398">
      <c r="A1398" s="35" t="n">
        <v>280</v>
      </c>
      <c r="B1398" s="41" t="n">
        <v>46579</v>
      </c>
      <c r="C1398" s="35" t="n">
        <v>2</v>
      </c>
      <c r="D1398" s="33" t="inlineStr">
        <is>
          <t>History</t>
        </is>
      </c>
      <c r="E1398" s="36" t="inlineStr">
        <is>
          <t>How tall was the Colossus of Rhodes?</t>
        </is>
      </c>
      <c r="F1398" s="42" t="n">
        <v>33</v>
      </c>
      <c r="G1398" s="33" t="inlineStr">
        <is>
          <t>metres</t>
        </is>
      </c>
      <c r="H1398" s="35" t="inlineStr">
        <is>
          <t>Medium</t>
        </is>
      </c>
      <c r="I1398" s="33" t="inlineStr">
        <is>
          <t>Britannica</t>
        </is>
      </c>
      <c r="J1398" s="35" t="n"/>
      <c r="K1398" s="33" t="inlineStr">
        <is>
          <t>Added Oct 2026. Spot check before this day goes live.</t>
        </is>
      </c>
      <c r="L1398" s="35">
        <f>COUNTIFS($A$2:$A$1501,A1398,$D$2:$D$1501,D1398)</f>
        <v/>
      </c>
    </row>
    <row r="1399">
      <c r="A1399" s="35" t="n">
        <v>280</v>
      </c>
      <c r="B1399" s="41" t="n">
        <v>46579</v>
      </c>
      <c r="C1399" s="35" t="n">
        <v>3</v>
      </c>
      <c r="D1399" s="33" t="inlineStr">
        <is>
          <t>Geography</t>
        </is>
      </c>
      <c r="E1399" s="36" t="inlineStr">
        <is>
          <t>How long is the Pan-American Highway?</t>
        </is>
      </c>
      <c r="F1399" s="42" t="n">
        <v>30000</v>
      </c>
      <c r="G1399" s="33" t="inlineStr">
        <is>
          <t>km</t>
        </is>
      </c>
      <c r="H1399" s="35" t="inlineStr">
        <is>
          <t>Medium</t>
        </is>
      </c>
      <c r="I1399" s="33" t="inlineStr">
        <is>
          <t>Guinness World Records</t>
        </is>
      </c>
      <c r="J1399" s="35" t="n"/>
      <c r="K1399" s="33" t="inlineStr">
        <is>
          <t>Added Oct 2026. Spot check before this day goes live.</t>
        </is>
      </c>
      <c r="L1399" s="35">
        <f>COUNTIFS($A$2:$A$1501,A1399,$D$2:$D$1501,D1399)</f>
        <v/>
      </c>
    </row>
    <row r="1400">
      <c r="A1400" s="35" t="n">
        <v>280</v>
      </c>
      <c r="B1400" s="41" t="n">
        <v>46579</v>
      </c>
      <c r="C1400" s="35" t="n">
        <v>4</v>
      </c>
      <c r="D1400" s="33" t="inlineStr">
        <is>
          <t>Sports</t>
        </is>
      </c>
      <c r="E1400" s="36" t="inlineStr">
        <is>
          <t>How many bases did Rickey Henderson steal in his MLB career?</t>
        </is>
      </c>
      <c r="F1400" s="42" t="n">
        <v>1406</v>
      </c>
      <c r="G1400" s="33" t="inlineStr">
        <is>
          <t>stolen bases</t>
        </is>
      </c>
      <c r="H1400" s="35" t="inlineStr">
        <is>
          <t>Hard</t>
        </is>
      </c>
      <c r="I1400" s="33" t="inlineStr">
        <is>
          <t>MLB.com</t>
        </is>
      </c>
      <c r="J1400" s="35" t="n"/>
      <c r="K1400" s="33" t="inlineStr">
        <is>
          <t>Added Oct 2026. Spot check before this day goes live.</t>
        </is>
      </c>
      <c r="L1400" s="35">
        <f>COUNTIFS($A$2:$A$1501,A1400,$D$2:$D$1501,D1400)</f>
        <v/>
      </c>
    </row>
    <row r="1401">
      <c r="A1401" s="35" t="n">
        <v>280</v>
      </c>
      <c r="B1401" s="41" t="n">
        <v>46579</v>
      </c>
      <c r="C1401" s="35" t="n">
        <v>5</v>
      </c>
      <c r="D1401" s="33" t="inlineStr">
        <is>
          <t>Distance of the Day</t>
        </is>
      </c>
      <c r="E1401" s="36" t="inlineStr">
        <is>
          <t>How far is it in a straight line from New York to Chicago?</t>
        </is>
      </c>
      <c r="F1401" s="42" t="n">
        <v>1140</v>
      </c>
      <c r="G1401" s="33" t="inlineStr">
        <is>
          <t>km</t>
        </is>
      </c>
      <c r="H1401" s="35" t="inlineStr">
        <is>
          <t>Easy</t>
        </is>
      </c>
      <c r="I1401" s="33" t="inlineStr">
        <is>
          <t>Computed great-circle distance (city centre to city centre)</t>
        </is>
      </c>
      <c r="J1401" s="35" t="n"/>
      <c r="K1401" s="33" t="n"/>
      <c r="L1401" s="35">
        <f>COUNTIFS($A$2:$A$1501,A1401,$D$2:$D$1501,D1401)</f>
        <v/>
      </c>
    </row>
    <row r="1402">
      <c r="A1402" s="35" t="n">
        <v>281</v>
      </c>
      <c r="B1402" s="41" t="n">
        <v>46580</v>
      </c>
      <c r="C1402" s="35" t="n">
        <v>1</v>
      </c>
      <c r="D1402" s="33" t="inlineStr">
        <is>
          <t>Food and Everyday Life</t>
        </is>
      </c>
      <c r="E1402" s="36" t="inlineStr">
        <is>
          <t>How many hours are in a year?</t>
        </is>
      </c>
      <c r="F1402" s="42" t="n">
        <v>8760</v>
      </c>
      <c r="G1402" s="33" t="inlineStr">
        <is>
          <t>hours</t>
        </is>
      </c>
      <c r="H1402" s="35" t="inlineStr">
        <is>
          <t>Medium</t>
        </is>
      </c>
      <c r="I1402" s="33" t="inlineStr">
        <is>
          <t>NIST</t>
        </is>
      </c>
      <c r="J1402" s="35" t="n"/>
      <c r="K1402" s="33" t="inlineStr">
        <is>
          <t>Added Oct 2026. Spot check before this day goes live.</t>
        </is>
      </c>
      <c r="L1402" s="35">
        <f>COUNTIFS($A$2:$A$1501,A1402,$D$2:$D$1501,D1402)</f>
        <v/>
      </c>
    </row>
    <row r="1403">
      <c r="A1403" s="35" t="n">
        <v>281</v>
      </c>
      <c r="B1403" s="41" t="n">
        <v>46580</v>
      </c>
      <c r="C1403" s="35" t="n">
        <v>2</v>
      </c>
      <c r="D1403" s="33" t="inlineStr">
        <is>
          <t>Animals and Nature</t>
        </is>
      </c>
      <c r="E1403" s="36" t="inlineStr">
        <is>
          <t>How much water can a pelican's pouch hold?</t>
        </is>
      </c>
      <c r="F1403" s="42" t="n">
        <v>11</v>
      </c>
      <c r="G1403" s="33" t="inlineStr">
        <is>
          <t>litres</t>
        </is>
      </c>
      <c r="H1403" s="35" t="inlineStr">
        <is>
          <t>Medium</t>
        </is>
      </c>
      <c r="I1403" s="33" t="inlineStr">
        <is>
          <t>Smithsonian</t>
        </is>
      </c>
      <c r="J1403" s="35" t="n"/>
      <c r="K1403" s="33" t="inlineStr">
        <is>
          <t>Added Oct 2026. Spot check before this day goes live.</t>
        </is>
      </c>
      <c r="L1403" s="35">
        <f>COUNTIFS($A$2:$A$1501,A1403,$D$2:$D$1501,D1403)</f>
        <v/>
      </c>
    </row>
    <row r="1404">
      <c r="A1404" s="35" t="n">
        <v>281</v>
      </c>
      <c r="B1404" s="41" t="n">
        <v>46580</v>
      </c>
      <c r="C1404" s="35" t="n">
        <v>3</v>
      </c>
      <c r="D1404" s="33" t="inlineStr">
        <is>
          <t>Canada</t>
        </is>
      </c>
      <c r="E1404" s="36" t="inlineStr">
        <is>
          <t>How long is Montreal's underground city?</t>
        </is>
      </c>
      <c r="F1404" s="42" t="n">
        <v>32</v>
      </c>
      <c r="G1404" s="33" t="inlineStr">
        <is>
          <t>km</t>
        </is>
      </c>
      <c r="H1404" s="35" t="inlineStr">
        <is>
          <t>Hard</t>
        </is>
      </c>
      <c r="I1404" s="33" t="inlineStr">
        <is>
          <t>Tourisme Montréal</t>
        </is>
      </c>
      <c r="J1404" s="35" t="n"/>
      <c r="K1404" s="33" t="inlineStr">
        <is>
          <t>Added Oct 2026. Spot check before this day goes live.</t>
        </is>
      </c>
      <c r="L1404" s="35">
        <f>COUNTIFS($A$2:$A$1501,A1404,$D$2:$D$1501,D1404)</f>
        <v/>
      </c>
    </row>
    <row r="1405">
      <c r="A1405" s="35" t="n">
        <v>281</v>
      </c>
      <c r="B1405" s="41" t="n">
        <v>46580</v>
      </c>
      <c r="C1405" s="35" t="n">
        <v>4</v>
      </c>
      <c r="D1405" s="33" t="inlineStr">
        <is>
          <t>Space and Science</t>
        </is>
      </c>
      <c r="E1405" s="36" t="inlineStr">
        <is>
          <t>How far is Neptune from the Sun, on average?</t>
        </is>
      </c>
      <c r="F1405" s="42" t="n">
        <v>4.5</v>
      </c>
      <c r="G1405" s="33" t="inlineStr">
        <is>
          <t>billion km</t>
        </is>
      </c>
      <c r="H1405" s="35" t="inlineStr">
        <is>
          <t>Hard</t>
        </is>
      </c>
      <c r="I1405" s="33" t="inlineStr">
        <is>
          <t>NASA</t>
        </is>
      </c>
      <c r="J1405" s="35" t="n"/>
      <c r="K1405" s="33" t="inlineStr">
        <is>
          <t>Added Oct 2026. Spot check before this day goes live.</t>
        </is>
      </c>
      <c r="L1405" s="35">
        <f>COUNTIFS($A$2:$A$1501,A1405,$D$2:$D$1501,D1405)</f>
        <v/>
      </c>
    </row>
    <row r="1406">
      <c r="A1406" s="35" t="n">
        <v>281</v>
      </c>
      <c r="B1406" s="41" t="n">
        <v>46580</v>
      </c>
      <c r="C1406" s="35" t="n">
        <v>5</v>
      </c>
      <c r="D1406" s="33" t="inlineStr">
        <is>
          <t>Distance of the Day</t>
        </is>
      </c>
      <c r="E1406" s="36" t="inlineStr">
        <is>
          <t>How far is it in a straight line from St. John's to Boston?</t>
        </is>
      </c>
      <c r="F1406" s="42" t="n">
        <v>1550</v>
      </c>
      <c r="G1406" s="33" t="inlineStr">
        <is>
          <t>km</t>
        </is>
      </c>
      <c r="H1406" s="35" t="inlineStr">
        <is>
          <t>Medium</t>
        </is>
      </c>
      <c r="I1406" s="33" t="inlineStr">
        <is>
          <t>Computed great-circle distance (city centre to city centre)</t>
        </is>
      </c>
      <c r="J1406" s="35" t="n"/>
      <c r="K1406" s="33" t="n"/>
      <c r="L1406" s="35">
        <f>COUNTIFS($A$2:$A$1501,A1406,$D$2:$D$1501,D1406)</f>
        <v/>
      </c>
    </row>
    <row r="1407">
      <c r="A1407" s="35" t="n">
        <v>282</v>
      </c>
      <c r="B1407" s="41" t="n">
        <v>46581</v>
      </c>
      <c r="C1407" s="35" t="n">
        <v>1</v>
      </c>
      <c r="D1407" s="33" t="inlineStr">
        <is>
          <t>Human Body</t>
        </is>
      </c>
      <c r="E1407" s="36" t="inlineStr">
        <is>
          <t>What percentage of the human body is water?</t>
        </is>
      </c>
      <c r="F1407" s="42" t="n">
        <v>60</v>
      </c>
      <c r="G1407" s="33" t="inlineStr">
        <is>
          <t>%</t>
        </is>
      </c>
      <c r="H1407" s="35" t="inlineStr">
        <is>
          <t>Easy</t>
        </is>
      </c>
      <c r="I1407" s="33" t="inlineStr">
        <is>
          <t>USGS</t>
        </is>
      </c>
      <c r="J1407" s="35" t="n"/>
      <c r="K1407" s="33" t="inlineStr">
        <is>
          <t>Added Oct 2026. Spot check before this day goes live.</t>
        </is>
      </c>
      <c r="L1407" s="35">
        <f>COUNTIFS($A$2:$A$1501,A1407,$D$2:$D$1501,D1407)</f>
        <v/>
      </c>
    </row>
    <row r="1408">
      <c r="A1408" s="35" t="n">
        <v>282</v>
      </c>
      <c r="B1408" s="41" t="n">
        <v>46581</v>
      </c>
      <c r="C1408" s="35" t="n">
        <v>2</v>
      </c>
      <c r="D1408" s="33" t="inlineStr">
        <is>
          <t>History</t>
        </is>
      </c>
      <c r="E1408" s="36" t="inlineStr">
        <is>
          <t>How many countries are members of NATO?</t>
        </is>
      </c>
      <c r="F1408" s="42" t="n">
        <v>32</v>
      </c>
      <c r="G1408" s="33" t="inlineStr">
        <is>
          <t>countries</t>
        </is>
      </c>
      <c r="H1408" s="35" t="inlineStr">
        <is>
          <t>Medium</t>
        </is>
      </c>
      <c r="I1408" s="33" t="inlineStr">
        <is>
          <t>NATO</t>
        </is>
      </c>
      <c r="J1408" s="35" t="n"/>
      <c r="K1408" s="33" t="inlineStr">
        <is>
          <t>Added Oct 2026. Spot check before this day goes live.</t>
        </is>
      </c>
      <c r="L1408" s="35">
        <f>COUNTIFS($A$2:$A$1501,A1408,$D$2:$D$1501,D1408)</f>
        <v/>
      </c>
    </row>
    <row r="1409">
      <c r="A1409" s="35" t="n">
        <v>282</v>
      </c>
      <c r="B1409" s="41" t="n">
        <v>46581</v>
      </c>
      <c r="C1409" s="35" t="n">
        <v>3</v>
      </c>
      <c r="D1409" s="33" t="inlineStr">
        <is>
          <t>Geography</t>
        </is>
      </c>
      <c r="E1409" s="36" t="inlineStr">
        <is>
          <t>How many main islands make up Hawaii?</t>
        </is>
      </c>
      <c r="F1409" s="42" t="n">
        <v>8</v>
      </c>
      <c r="G1409" s="33" t="inlineStr">
        <is>
          <t>islands</t>
        </is>
      </c>
      <c r="H1409" s="35" t="inlineStr">
        <is>
          <t>Medium</t>
        </is>
      </c>
      <c r="I1409" s="33" t="inlineStr">
        <is>
          <t>State of Hawaii</t>
        </is>
      </c>
      <c r="J1409" s="35" t="n"/>
      <c r="K1409" s="33" t="inlineStr">
        <is>
          <t>Added Oct 2026. Spot check before this day goes live.</t>
        </is>
      </c>
      <c r="L1409" s="35">
        <f>COUNTIFS($A$2:$A$1501,A1409,$D$2:$D$1501,D1409)</f>
        <v/>
      </c>
    </row>
    <row r="1410">
      <c r="A1410" s="35" t="n">
        <v>282</v>
      </c>
      <c r="B1410" s="41" t="n">
        <v>46581</v>
      </c>
      <c r="C1410" s="35" t="n">
        <v>4</v>
      </c>
      <c r="D1410" s="33" t="inlineStr">
        <is>
          <t>Buildings and Engineering</t>
        </is>
      </c>
      <c r="E1410" s="36" t="inlineStr">
        <is>
          <t>How tall is 30 St Mary Axe, the Gherkin, in London?</t>
        </is>
      </c>
      <c r="F1410" s="42" t="n">
        <v>180</v>
      </c>
      <c r="G1410" s="33" t="inlineStr">
        <is>
          <t>metres</t>
        </is>
      </c>
      <c r="H1410" s="35" t="inlineStr">
        <is>
          <t>Hard</t>
        </is>
      </c>
      <c r="I1410" s="33" t="inlineStr">
        <is>
          <t>CTBUH</t>
        </is>
      </c>
      <c r="J1410" s="35" t="n"/>
      <c r="K1410" s="33" t="inlineStr">
        <is>
          <t>Added Oct 2026. Spot check before this day goes live.</t>
        </is>
      </c>
      <c r="L1410" s="35">
        <f>COUNTIFS($A$2:$A$1501,A1410,$D$2:$D$1501,D1410)</f>
        <v/>
      </c>
    </row>
    <row r="1411">
      <c r="A1411" s="35" t="n">
        <v>282</v>
      </c>
      <c r="B1411" s="41" t="n">
        <v>46581</v>
      </c>
      <c r="C1411" s="35" t="n">
        <v>5</v>
      </c>
      <c r="D1411" s="33" t="inlineStr">
        <is>
          <t>Distance of the Day</t>
        </is>
      </c>
      <c r="E1411" s="36" t="inlineStr">
        <is>
          <t>How far is it in a straight line from Charlottetown to Islamabad?</t>
        </is>
      </c>
      <c r="F1411" s="42" t="n">
        <v>10100</v>
      </c>
      <c r="G1411" s="33" t="inlineStr">
        <is>
          <t>km</t>
        </is>
      </c>
      <c r="H1411" s="35" t="inlineStr">
        <is>
          <t>Hard</t>
        </is>
      </c>
      <c r="I1411" s="33" t="inlineStr">
        <is>
          <t>Computed great-circle distance (city centre to city centre)</t>
        </is>
      </c>
      <c r="J1411" s="35" t="n"/>
      <c r="K1411" s="33" t="n"/>
      <c r="L1411" s="35">
        <f>COUNTIFS($A$2:$A$1501,A1411,$D$2:$D$1501,D1411)</f>
        <v/>
      </c>
    </row>
    <row r="1412">
      <c r="A1412" s="35" t="n">
        <v>283</v>
      </c>
      <c r="B1412" s="41" t="n">
        <v>46582</v>
      </c>
      <c r="C1412" s="35" t="n">
        <v>1</v>
      </c>
      <c r="D1412" s="33" t="inlineStr">
        <is>
          <t>Animals and Nature</t>
        </is>
      </c>
      <c r="E1412" s="36" t="inlineStr">
        <is>
          <t>How many hearts does an octopus have?</t>
        </is>
      </c>
      <c r="F1412" s="42" t="n">
        <v>3</v>
      </c>
      <c r="G1412" s="33" t="inlineStr">
        <is>
          <t>hearts</t>
        </is>
      </c>
      <c r="H1412" s="35" t="inlineStr">
        <is>
          <t>Easy</t>
        </is>
      </c>
      <c r="I1412" s="33" t="inlineStr">
        <is>
          <t>Smithsonian</t>
        </is>
      </c>
      <c r="J1412" s="35" t="n"/>
      <c r="K1412" s="33" t="inlineStr">
        <is>
          <t>Added Oct 2026. Spot check before this day goes live.</t>
        </is>
      </c>
      <c r="L1412" s="35">
        <f>COUNTIFS($A$2:$A$1501,A1412,$D$2:$D$1501,D1412)</f>
        <v/>
      </c>
    </row>
    <row r="1413">
      <c r="A1413" s="35" t="n">
        <v>283</v>
      </c>
      <c r="B1413" s="41" t="n">
        <v>46582</v>
      </c>
      <c r="C1413" s="35" t="n">
        <v>2</v>
      </c>
      <c r="D1413" s="33" t="inlineStr">
        <is>
          <t>Movies, Music and Games</t>
        </is>
      </c>
      <c r="E1413" s="36" t="inlineStr">
        <is>
          <t>How many notes are in a chromatic octave, counting sharps and flats?</t>
        </is>
      </c>
      <c r="F1413" s="42" t="n">
        <v>12</v>
      </c>
      <c r="G1413" s="33" t="inlineStr">
        <is>
          <t>notes</t>
        </is>
      </c>
      <c r="H1413" s="35" t="inlineStr">
        <is>
          <t>Medium</t>
        </is>
      </c>
      <c r="I1413" s="33" t="inlineStr">
        <is>
          <t>Britannica</t>
        </is>
      </c>
      <c r="J1413" s="35" t="n"/>
      <c r="K1413" s="33" t="inlineStr">
        <is>
          <t>Added Oct 2026. Spot check before this day goes live.</t>
        </is>
      </c>
      <c r="L1413" s="35">
        <f>COUNTIFS($A$2:$A$1501,A1413,$D$2:$D$1501,D1413)</f>
        <v/>
      </c>
    </row>
    <row r="1414">
      <c r="A1414" s="35" t="n">
        <v>283</v>
      </c>
      <c r="B1414" s="41" t="n">
        <v>46582</v>
      </c>
      <c r="C1414" s="35" t="n">
        <v>3</v>
      </c>
      <c r="D1414" s="33" t="inlineStr">
        <is>
          <t>Space and Science</t>
        </is>
      </c>
      <c r="E1414" s="36" t="inlineStr">
        <is>
          <t>How long is a day on Saturn?</t>
        </is>
      </c>
      <c r="F1414" s="42" t="n">
        <v>10.7</v>
      </c>
      <c r="G1414" s="33" t="inlineStr">
        <is>
          <t>hours</t>
        </is>
      </c>
      <c r="H1414" s="35" t="inlineStr">
        <is>
          <t>Hard</t>
        </is>
      </c>
      <c r="I1414" s="33" t="inlineStr">
        <is>
          <t>NASA</t>
        </is>
      </c>
      <c r="J1414" s="35" t="n"/>
      <c r="K1414" s="33" t="inlineStr">
        <is>
          <t>Added Oct 2026. Spot check before this day goes live.</t>
        </is>
      </c>
      <c r="L1414" s="35">
        <f>COUNTIFS($A$2:$A$1501,A1414,$D$2:$D$1501,D1414)</f>
        <v/>
      </c>
    </row>
    <row r="1415">
      <c r="A1415" s="35" t="n">
        <v>283</v>
      </c>
      <c r="B1415" s="41" t="n">
        <v>46582</v>
      </c>
      <c r="C1415" s="35" t="n">
        <v>4</v>
      </c>
      <c r="D1415" s="33" t="inlineStr">
        <is>
          <t>Canada</t>
        </is>
      </c>
      <c r="E1415" s="36" t="inlineStr">
        <is>
          <t>How long is the end zone in the CFL?</t>
        </is>
      </c>
      <c r="F1415" s="42" t="n">
        <v>20</v>
      </c>
      <c r="G1415" s="33" t="inlineStr">
        <is>
          <t>yards</t>
        </is>
      </c>
      <c r="H1415" s="35" t="inlineStr">
        <is>
          <t>Hard</t>
        </is>
      </c>
      <c r="I1415" s="33" t="inlineStr">
        <is>
          <t>CFL rulebook</t>
        </is>
      </c>
      <c r="J1415" s="35" t="n"/>
      <c r="K1415" s="33" t="inlineStr">
        <is>
          <t>Added Oct 2026. Spot check before this day goes live.</t>
        </is>
      </c>
      <c r="L1415" s="35">
        <f>COUNTIFS($A$2:$A$1501,A1415,$D$2:$D$1501,D1415)</f>
        <v/>
      </c>
    </row>
    <row r="1416">
      <c r="A1416" s="35" t="n">
        <v>283</v>
      </c>
      <c r="B1416" s="41" t="n">
        <v>46582</v>
      </c>
      <c r="C1416" s="35" t="n">
        <v>5</v>
      </c>
      <c r="D1416" s="33" t="inlineStr">
        <is>
          <t>Distance of the Day</t>
        </is>
      </c>
      <c r="E1416" s="36" t="inlineStr">
        <is>
          <t>How far is it in a straight line from Montreal to Las Vegas?</t>
        </is>
      </c>
      <c r="F1416" s="42" t="n">
        <v>3600</v>
      </c>
      <c r="G1416" s="33" t="inlineStr">
        <is>
          <t>km</t>
        </is>
      </c>
      <c r="H1416" s="35" t="inlineStr">
        <is>
          <t>Medium</t>
        </is>
      </c>
      <c r="I1416" s="33" t="inlineStr">
        <is>
          <t>Computed great-circle distance (city centre to city centre)</t>
        </is>
      </c>
      <c r="J1416" s="35" t="n"/>
      <c r="K1416" s="33" t="n"/>
      <c r="L1416" s="35">
        <f>COUNTIFS($A$2:$A$1501,A1416,$D$2:$D$1501,D1416)</f>
        <v/>
      </c>
    </row>
    <row r="1417">
      <c r="A1417" s="35" t="n">
        <v>284</v>
      </c>
      <c r="B1417" s="41" t="n">
        <v>46583</v>
      </c>
      <c r="C1417" s="35" t="n">
        <v>1</v>
      </c>
      <c r="D1417" s="33" t="inlineStr">
        <is>
          <t>Food and Everyday Life</t>
        </is>
      </c>
      <c r="E1417" s="36" t="inlineStr">
        <is>
          <t>How many litres does a modern low-flow toilet use per flush?</t>
        </is>
      </c>
      <c r="F1417" s="42" t="n">
        <v>6</v>
      </c>
      <c r="G1417" s="33" t="inlineStr">
        <is>
          <t>litres</t>
        </is>
      </c>
      <c r="H1417" s="35" t="inlineStr">
        <is>
          <t>Medium</t>
        </is>
      </c>
      <c r="I1417" s="33" t="inlineStr">
        <is>
          <t>Natural Resources Canada</t>
        </is>
      </c>
      <c r="J1417" s="35" t="n"/>
      <c r="K1417" s="33" t="inlineStr">
        <is>
          <t>Added Oct 2026. Spot check before this day goes live.</t>
        </is>
      </c>
      <c r="L1417" s="35">
        <f>COUNTIFS($A$2:$A$1501,A1417,$D$2:$D$1501,D1417)</f>
        <v/>
      </c>
    </row>
    <row r="1418">
      <c r="A1418" s="35" t="n">
        <v>284</v>
      </c>
      <c r="B1418" s="41" t="n">
        <v>46583</v>
      </c>
      <c r="C1418" s="35" t="n">
        <v>2</v>
      </c>
      <c r="D1418" s="33" t="inlineStr">
        <is>
          <t>Human Body</t>
        </is>
      </c>
      <c r="E1418" s="36" t="inlineStr">
        <is>
          <t>What percentage of your body weight is blood?</t>
        </is>
      </c>
      <c r="F1418" s="42" t="n">
        <v>7</v>
      </c>
      <c r="G1418" s="33" t="inlineStr">
        <is>
          <t>%</t>
        </is>
      </c>
      <c r="H1418" s="35" t="inlineStr">
        <is>
          <t>Medium</t>
        </is>
      </c>
      <c r="I1418" s="33" t="inlineStr">
        <is>
          <t>Britannica</t>
        </is>
      </c>
      <c r="J1418" s="35" t="n"/>
      <c r="K1418" s="33" t="inlineStr">
        <is>
          <t>Added Oct 2026. Spot check before this day goes live.</t>
        </is>
      </c>
      <c r="L1418" s="35">
        <f>COUNTIFS($A$2:$A$1501,A1418,$D$2:$D$1501,D1418)</f>
        <v/>
      </c>
    </row>
    <row r="1419">
      <c r="A1419" s="35" t="n">
        <v>284</v>
      </c>
      <c r="B1419" s="41" t="n">
        <v>46583</v>
      </c>
      <c r="C1419" s="35" t="n">
        <v>3</v>
      </c>
      <c r="D1419" s="33" t="inlineStr">
        <is>
          <t>Buildings and Engineering</t>
        </is>
      </c>
      <c r="E1419" s="36" t="inlineStr">
        <is>
          <t>How deep is the Kola Superdeep Borehole, the deepest hole ever drilled?</t>
        </is>
      </c>
      <c r="F1419" s="42" t="n">
        <v>12262</v>
      </c>
      <c r="G1419" s="33" t="inlineStr">
        <is>
          <t>metres</t>
        </is>
      </c>
      <c r="H1419" s="35" t="inlineStr">
        <is>
          <t>Hard</t>
        </is>
      </c>
      <c r="I1419" s="33" t="inlineStr">
        <is>
          <t>Guinness World Records</t>
        </is>
      </c>
      <c r="J1419" s="35" t="n"/>
      <c r="K1419" s="33" t="inlineStr">
        <is>
          <t>Added Oct 2026. Spot check before this day goes live.</t>
        </is>
      </c>
      <c r="L1419" s="35">
        <f>COUNTIFS($A$2:$A$1501,A1419,$D$2:$D$1501,D1419)</f>
        <v/>
      </c>
    </row>
    <row r="1420">
      <c r="A1420" s="35" t="n">
        <v>284</v>
      </c>
      <c r="B1420" s="41" t="n">
        <v>46583</v>
      </c>
      <c r="C1420" s="35" t="n">
        <v>4</v>
      </c>
      <c r="D1420" s="33" t="inlineStr">
        <is>
          <t>Sports</t>
        </is>
      </c>
      <c r="E1420" s="36" t="inlineStr">
        <is>
          <t>How many lengths did Secretariat win the 1973 Belmont Stakes by?</t>
        </is>
      </c>
      <c r="F1420" s="42" t="n">
        <v>31</v>
      </c>
      <c r="G1420" s="33" t="inlineStr">
        <is>
          <t>lengths</t>
        </is>
      </c>
      <c r="H1420" s="35" t="inlineStr">
        <is>
          <t>Hard</t>
        </is>
      </c>
      <c r="I1420" s="33" t="inlineStr">
        <is>
          <t>Belmont Stakes</t>
        </is>
      </c>
      <c r="J1420" s="35" t="n"/>
      <c r="K1420" s="33" t="inlineStr">
        <is>
          <t>Added Oct 2026. Spot check before this day goes live.</t>
        </is>
      </c>
      <c r="L1420" s="35">
        <f>COUNTIFS($A$2:$A$1501,A1420,$D$2:$D$1501,D1420)</f>
        <v/>
      </c>
    </row>
    <row r="1421">
      <c r="A1421" s="35" t="n">
        <v>284</v>
      </c>
      <c r="B1421" s="41" t="n">
        <v>46583</v>
      </c>
      <c r="C1421" s="35" t="n">
        <v>5</v>
      </c>
      <c r="D1421" s="33" t="inlineStr">
        <is>
          <t>Distance of the Day</t>
        </is>
      </c>
      <c r="E1421" s="36" t="inlineStr">
        <is>
          <t>How far is it in a straight line from Quebec City to Nashville?</t>
        </is>
      </c>
      <c r="F1421" s="42" t="n">
        <v>1750</v>
      </c>
      <c r="G1421" s="33" t="inlineStr">
        <is>
          <t>km</t>
        </is>
      </c>
      <c r="H1421" s="35" t="inlineStr">
        <is>
          <t>Medium</t>
        </is>
      </c>
      <c r="I1421" s="33" t="inlineStr">
        <is>
          <t>Computed great-circle distance (city centre to city centre)</t>
        </is>
      </c>
      <c r="J1421" s="35" t="n"/>
      <c r="K1421" s="33" t="n"/>
      <c r="L1421" s="35">
        <f>COUNTIFS($A$2:$A$1501,A1421,$D$2:$D$1501,D1421)</f>
        <v/>
      </c>
    </row>
    <row r="1422">
      <c r="A1422" s="35" t="n">
        <v>285</v>
      </c>
      <c r="B1422" s="41" t="n">
        <v>46584</v>
      </c>
      <c r="C1422" s="35" t="n">
        <v>1</v>
      </c>
      <c r="D1422" s="33" t="inlineStr">
        <is>
          <t>Space and Science</t>
        </is>
      </c>
      <c r="E1422" s="36" t="inlineStr">
        <is>
          <t>What is the atomic number of carbon?</t>
        </is>
      </c>
      <c r="F1422" s="42" t="n">
        <v>6</v>
      </c>
      <c r="G1422" s="33" t="n"/>
      <c r="H1422" s="35" t="inlineStr">
        <is>
          <t>Easy</t>
        </is>
      </c>
      <c r="I1422" s="33" t="inlineStr">
        <is>
          <t>IUPAC periodic table</t>
        </is>
      </c>
      <c r="J1422" s="35" t="n"/>
      <c r="K1422" s="33" t="inlineStr">
        <is>
          <t>Added Oct 2026. Spot check before this day goes live.</t>
        </is>
      </c>
      <c r="L1422" s="35">
        <f>COUNTIFS($A$2:$A$1501,A1422,$D$2:$D$1501,D1422)</f>
        <v/>
      </c>
    </row>
    <row r="1423">
      <c r="A1423" s="35" t="n">
        <v>285</v>
      </c>
      <c r="B1423" s="41" t="n">
        <v>46584</v>
      </c>
      <c r="C1423" s="35" t="n">
        <v>2</v>
      </c>
      <c r="D1423" s="33" t="inlineStr">
        <is>
          <t>Animals and Nature</t>
        </is>
      </c>
      <c r="E1423" s="36" t="inlineStr">
        <is>
          <t>How many species of penguin are there?</t>
        </is>
      </c>
      <c r="F1423" s="42" t="n">
        <v>18</v>
      </c>
      <c r="G1423" s="33" t="inlineStr">
        <is>
          <t>species</t>
        </is>
      </c>
      <c r="H1423" s="35" t="inlineStr">
        <is>
          <t>Medium</t>
        </is>
      </c>
      <c r="I1423" s="33" t="inlineStr">
        <is>
          <t>Britannica</t>
        </is>
      </c>
      <c r="J1423" s="35" t="n"/>
      <c r="K1423" s="33" t="inlineStr">
        <is>
          <t>Added Oct 2026. Spot check before this day goes live.</t>
        </is>
      </c>
      <c r="L1423" s="35">
        <f>COUNTIFS($A$2:$A$1501,A1423,$D$2:$D$1501,D1423)</f>
        <v/>
      </c>
    </row>
    <row r="1424">
      <c r="A1424" s="35" t="n">
        <v>285</v>
      </c>
      <c r="B1424" s="41" t="n">
        <v>46584</v>
      </c>
      <c r="C1424" s="35" t="n">
        <v>3</v>
      </c>
      <c r="D1424" s="33" t="inlineStr">
        <is>
          <t>Geography</t>
        </is>
      </c>
      <c r="E1424" s="36" t="inlineStr">
        <is>
          <t>How long is the Mississippi River?</t>
        </is>
      </c>
      <c r="F1424" s="42" t="n">
        <v>3730</v>
      </c>
      <c r="G1424" s="33" t="inlineStr">
        <is>
          <t>km</t>
        </is>
      </c>
      <c r="H1424" s="35" t="inlineStr">
        <is>
          <t>Medium</t>
        </is>
      </c>
      <c r="I1424" s="33" t="inlineStr">
        <is>
          <t>US National Park Service</t>
        </is>
      </c>
      <c r="J1424" s="35" t="n"/>
      <c r="K1424" s="33" t="inlineStr">
        <is>
          <t>Added Oct 2026. Spot check before this day goes live.</t>
        </is>
      </c>
      <c r="L1424" s="35">
        <f>COUNTIFS($A$2:$A$1501,A1424,$D$2:$D$1501,D1424)</f>
        <v/>
      </c>
    </row>
    <row r="1425">
      <c r="A1425" s="35" t="n">
        <v>285</v>
      </c>
      <c r="B1425" s="41" t="n">
        <v>46584</v>
      </c>
      <c r="C1425" s="35" t="n">
        <v>4</v>
      </c>
      <c r="D1425" s="33" t="inlineStr">
        <is>
          <t>Canada</t>
        </is>
      </c>
      <c r="E1425" s="36" t="inlineStr">
        <is>
          <t>How long is the main span of the Lions Gate Bridge?</t>
        </is>
      </c>
      <c r="F1425" s="42" t="n">
        <v>473</v>
      </c>
      <c r="G1425" s="33" t="inlineStr">
        <is>
          <t>metres</t>
        </is>
      </c>
      <c r="H1425" s="35" t="inlineStr">
        <is>
          <t>Hard</t>
        </is>
      </c>
      <c r="I1425" s="33" t="inlineStr">
        <is>
          <t>Government of BC</t>
        </is>
      </c>
      <c r="J1425" s="35" t="n"/>
      <c r="K1425" s="33" t="inlineStr">
        <is>
          <t>Added Oct 2026. Spot check before this day goes live.</t>
        </is>
      </c>
      <c r="L1425" s="35">
        <f>COUNTIFS($A$2:$A$1501,A1425,$D$2:$D$1501,D1425)</f>
        <v/>
      </c>
    </row>
    <row r="1426">
      <c r="A1426" s="35" t="n">
        <v>285</v>
      </c>
      <c r="B1426" s="41" t="n">
        <v>46584</v>
      </c>
      <c r="C1426" s="35" t="n">
        <v>5</v>
      </c>
      <c r="D1426" s="33" t="inlineStr">
        <is>
          <t>Distance of the Day</t>
        </is>
      </c>
      <c r="E1426" s="36" t="inlineStr">
        <is>
          <t>How far is it in a straight line from London, Ontario to Kingston, Jamaica?</t>
        </is>
      </c>
      <c r="F1426" s="42" t="n">
        <v>2810</v>
      </c>
      <c r="G1426" s="33" t="inlineStr">
        <is>
          <t>km</t>
        </is>
      </c>
      <c r="H1426" s="35" t="inlineStr">
        <is>
          <t>Medium</t>
        </is>
      </c>
      <c r="I1426" s="33" t="inlineStr">
        <is>
          <t>Computed great-circle distance (city centre to city centre)</t>
        </is>
      </c>
      <c r="J1426" s="35" t="n"/>
      <c r="K1426" s="33" t="n"/>
      <c r="L1426" s="35">
        <f>COUNTIFS($A$2:$A$1501,A1426,$D$2:$D$1501,D1426)</f>
        <v/>
      </c>
    </row>
    <row r="1427">
      <c r="A1427" s="35" t="n">
        <v>286</v>
      </c>
      <c r="B1427" s="41" t="n">
        <v>46585</v>
      </c>
      <c r="C1427" s="35" t="n">
        <v>1</v>
      </c>
      <c r="D1427" s="33" t="inlineStr">
        <is>
          <t>Food and Everyday Life</t>
        </is>
      </c>
      <c r="E1427" s="36" t="inlineStr">
        <is>
          <t>How many sheets of paper are in a ream?</t>
        </is>
      </c>
      <c r="F1427" s="42" t="n">
        <v>500</v>
      </c>
      <c r="G1427" s="33" t="inlineStr">
        <is>
          <t>sheets</t>
        </is>
      </c>
      <c r="H1427" s="35" t="inlineStr">
        <is>
          <t>Easy</t>
        </is>
      </c>
      <c r="I1427" s="33" t="inlineStr">
        <is>
          <t>Britannica</t>
        </is>
      </c>
      <c r="J1427" s="35" t="n"/>
      <c r="K1427" s="33" t="inlineStr">
        <is>
          <t>Added Oct 2026. Spot check before this day goes live.</t>
        </is>
      </c>
      <c r="L1427" s="35">
        <f>COUNTIFS($A$2:$A$1501,A1427,$D$2:$D$1501,D1427)</f>
        <v/>
      </c>
    </row>
    <row r="1428">
      <c r="A1428" s="35" t="n">
        <v>286</v>
      </c>
      <c r="B1428" s="41" t="n">
        <v>46585</v>
      </c>
      <c r="C1428" s="35" t="n">
        <v>2</v>
      </c>
      <c r="D1428" s="33" t="inlineStr">
        <is>
          <t>History</t>
        </is>
      </c>
      <c r="E1428" s="36" t="inlineStr">
        <is>
          <t>How many years did the Spanish Civil War last?</t>
        </is>
      </c>
      <c r="F1428" s="42" t="n">
        <v>3</v>
      </c>
      <c r="G1428" s="33" t="inlineStr">
        <is>
          <t>years</t>
        </is>
      </c>
      <c r="H1428" s="35" t="inlineStr">
        <is>
          <t>Medium</t>
        </is>
      </c>
      <c r="I1428" s="33" t="inlineStr">
        <is>
          <t>Britannica</t>
        </is>
      </c>
      <c r="J1428" s="35" t="n"/>
      <c r="K1428" s="33" t="inlineStr">
        <is>
          <t>Added Oct 2026. Spot check before this day goes live.</t>
        </is>
      </c>
      <c r="L1428" s="35">
        <f>COUNTIFS($A$2:$A$1501,A1428,$D$2:$D$1501,D1428)</f>
        <v/>
      </c>
    </row>
    <row r="1429">
      <c r="A1429" s="35" t="n">
        <v>286</v>
      </c>
      <c r="B1429" s="41" t="n">
        <v>46585</v>
      </c>
      <c r="C1429" s="35" t="n">
        <v>3</v>
      </c>
      <c r="D1429" s="33" t="inlineStr">
        <is>
          <t>Sports</t>
        </is>
      </c>
      <c r="E1429" s="36" t="inlineStr">
        <is>
          <t>How heavy is an official NFL football?</t>
        </is>
      </c>
      <c r="F1429" s="42" t="n">
        <v>410</v>
      </c>
      <c r="G1429" s="33" t="inlineStr">
        <is>
          <t>grams</t>
        </is>
      </c>
      <c r="H1429" s="35" t="inlineStr">
        <is>
          <t>Hard</t>
        </is>
      </c>
      <c r="I1429" s="33" t="inlineStr">
        <is>
          <t>NFL rulebook</t>
        </is>
      </c>
      <c r="J1429" s="35" t="n"/>
      <c r="K1429" s="33" t="inlineStr">
        <is>
          <t>Added Oct 2026. Spot check before this day goes live.</t>
        </is>
      </c>
      <c r="L1429" s="35">
        <f>COUNTIFS($A$2:$A$1501,A1429,$D$2:$D$1501,D1429)</f>
        <v/>
      </c>
    </row>
    <row r="1430">
      <c r="A1430" s="35" t="n">
        <v>286</v>
      </c>
      <c r="B1430" s="41" t="n">
        <v>46585</v>
      </c>
      <c r="C1430" s="35" t="n">
        <v>4</v>
      </c>
      <c r="D1430" s="33" t="inlineStr">
        <is>
          <t>Buildings and Engineering</t>
        </is>
      </c>
      <c r="E1430" s="36" t="inlineStr">
        <is>
          <t>How tall is Lotte World Tower in Seoul?</t>
        </is>
      </c>
      <c r="F1430" s="42" t="n">
        <v>555</v>
      </c>
      <c r="G1430" s="33" t="inlineStr">
        <is>
          <t>metres</t>
        </is>
      </c>
      <c r="H1430" s="35" t="inlineStr">
        <is>
          <t>Hard</t>
        </is>
      </c>
      <c r="I1430" s="33" t="inlineStr">
        <is>
          <t>CTBUH</t>
        </is>
      </c>
      <c r="J1430" s="35" t="n"/>
      <c r="K1430" s="33" t="inlineStr">
        <is>
          <t>Added Oct 2026. Spot check before this day goes live.</t>
        </is>
      </c>
      <c r="L1430" s="35">
        <f>COUNTIFS($A$2:$A$1501,A1430,$D$2:$D$1501,D1430)</f>
        <v/>
      </c>
    </row>
    <row r="1431">
      <c r="A1431" s="35" t="n">
        <v>286</v>
      </c>
      <c r="B1431" s="41" t="n">
        <v>46585</v>
      </c>
      <c r="C1431" s="35" t="n">
        <v>5</v>
      </c>
      <c r="D1431" s="33" t="inlineStr">
        <is>
          <t>Distance of the Day</t>
        </is>
      </c>
      <c r="E1431" s="36" t="inlineStr">
        <is>
          <t>How far is it in a straight line from Dallas to Kingston, Jamaica?</t>
        </is>
      </c>
      <c r="F1431" s="42" t="n">
        <v>2590</v>
      </c>
      <c r="G1431" s="33" t="inlineStr">
        <is>
          <t>km</t>
        </is>
      </c>
      <c r="H1431" s="35" t="inlineStr">
        <is>
          <t>Medium</t>
        </is>
      </c>
      <c r="I1431" s="33" t="inlineStr">
        <is>
          <t>Computed great-circle distance (city centre to city centre)</t>
        </is>
      </c>
      <c r="J1431" s="35" t="n"/>
      <c r="K1431" s="33" t="n"/>
      <c r="L1431" s="35">
        <f>COUNTIFS($A$2:$A$1501,A1431,$D$2:$D$1501,D1431)</f>
        <v/>
      </c>
    </row>
    <row r="1432">
      <c r="A1432" s="35" t="n">
        <v>287</v>
      </c>
      <c r="B1432" s="41" t="n">
        <v>46586</v>
      </c>
      <c r="C1432" s="35" t="n">
        <v>1</v>
      </c>
      <c r="D1432" s="33" t="inlineStr">
        <is>
          <t>Animals and Nature</t>
        </is>
      </c>
      <c r="E1432" s="36" t="inlineStr">
        <is>
          <t>How many wings does a bee have?</t>
        </is>
      </c>
      <c r="F1432" s="42" t="n">
        <v>4</v>
      </c>
      <c r="G1432" s="33" t="inlineStr">
        <is>
          <t>wings</t>
        </is>
      </c>
      <c r="H1432" s="35" t="inlineStr">
        <is>
          <t>Easy</t>
        </is>
      </c>
      <c r="I1432" s="33" t="inlineStr">
        <is>
          <t>USDA</t>
        </is>
      </c>
      <c r="J1432" s="35" t="n"/>
      <c r="K1432" s="33" t="inlineStr">
        <is>
          <t>Added Oct 2026. Spot check before this day goes live.</t>
        </is>
      </c>
      <c r="L1432" s="35">
        <f>COUNTIFS($A$2:$A$1501,A1432,$D$2:$D$1501,D1432)</f>
        <v/>
      </c>
    </row>
    <row r="1433">
      <c r="A1433" s="35" t="n">
        <v>287</v>
      </c>
      <c r="B1433" s="41" t="n">
        <v>46586</v>
      </c>
      <c r="C1433" s="35" t="n">
        <v>2</v>
      </c>
      <c r="D1433" s="33" t="inlineStr">
        <is>
          <t>Movies, Music and Games</t>
        </is>
      </c>
      <c r="E1433" s="36" t="inlineStr">
        <is>
          <t>How long is Harry Potter and the Philosopher's Stone?</t>
        </is>
      </c>
      <c r="F1433" s="42" t="n">
        <v>152</v>
      </c>
      <c r="G1433" s="33" t="inlineStr">
        <is>
          <t>minutes</t>
        </is>
      </c>
      <c r="H1433" s="35" t="inlineStr">
        <is>
          <t>Medium</t>
        </is>
      </c>
      <c r="I1433" s="33" t="inlineStr">
        <is>
          <t>IMDb</t>
        </is>
      </c>
      <c r="J1433" s="35" t="n"/>
      <c r="K1433" s="33" t="inlineStr">
        <is>
          <t>Added Oct 2026. Spot check before this day goes live.</t>
        </is>
      </c>
      <c r="L1433" s="35">
        <f>COUNTIFS($A$2:$A$1501,A1433,$D$2:$D$1501,D1433)</f>
        <v/>
      </c>
    </row>
    <row r="1434">
      <c r="A1434" s="35" t="n">
        <v>287</v>
      </c>
      <c r="B1434" s="41" t="n">
        <v>46586</v>
      </c>
      <c r="C1434" s="35" t="n">
        <v>3</v>
      </c>
      <c r="D1434" s="33" t="inlineStr">
        <is>
          <t>Human Body</t>
        </is>
      </c>
      <c r="E1434" s="36" t="inlineStr">
        <is>
          <t>How many hairs does the average person lose in a day?</t>
        </is>
      </c>
      <c r="F1434" s="42" t="n">
        <v>100</v>
      </c>
      <c r="G1434" s="33" t="inlineStr">
        <is>
          <t>hairs</t>
        </is>
      </c>
      <c r="H1434" s="35" t="inlineStr">
        <is>
          <t>Medium</t>
        </is>
      </c>
      <c r="I1434" s="33" t="inlineStr">
        <is>
          <t>American Academy of Dermatology</t>
        </is>
      </c>
      <c r="J1434" s="35" t="n"/>
      <c r="K1434" s="33" t="inlineStr">
        <is>
          <t>Added Oct 2026. Spot check before this day goes live.</t>
        </is>
      </c>
      <c r="L1434" s="35">
        <f>COUNTIFS($A$2:$A$1501,A1434,$D$2:$D$1501,D1434)</f>
        <v/>
      </c>
    </row>
    <row r="1435">
      <c r="A1435" s="35" t="n">
        <v>287</v>
      </c>
      <c r="B1435" s="41" t="n">
        <v>46586</v>
      </c>
      <c r="C1435" s="35" t="n">
        <v>4</v>
      </c>
      <c r="D1435" s="33" t="inlineStr">
        <is>
          <t>Space and Science</t>
        </is>
      </c>
      <c r="E1435" s="36" t="inlineStr">
        <is>
          <t>How fast did the Parker Solar Probe go at its record top speed?</t>
        </is>
      </c>
      <c r="F1435" s="42" t="n">
        <v>692000</v>
      </c>
      <c r="G1435" s="33" t="inlineStr">
        <is>
          <t>km/h</t>
        </is>
      </c>
      <c r="H1435" s="35" t="inlineStr">
        <is>
          <t>Hard</t>
        </is>
      </c>
      <c r="I1435" s="33" t="inlineStr">
        <is>
          <t>NASA</t>
        </is>
      </c>
      <c r="J1435" s="35" t="n"/>
      <c r="K1435" s="33" t="inlineStr">
        <is>
          <t>Added Oct 2026. Spot check before this day goes live.</t>
        </is>
      </c>
      <c r="L1435" s="35">
        <f>COUNTIFS($A$2:$A$1501,A1435,$D$2:$D$1501,D1435)</f>
        <v/>
      </c>
    </row>
    <row r="1436">
      <c r="A1436" s="35" t="n">
        <v>287</v>
      </c>
      <c r="B1436" s="41" t="n">
        <v>46586</v>
      </c>
      <c r="C1436" s="35" t="n">
        <v>5</v>
      </c>
      <c r="D1436" s="33" t="inlineStr">
        <is>
          <t>Distance of the Day</t>
        </is>
      </c>
      <c r="E1436" s="36" t="inlineStr">
        <is>
          <t>How far is it in a straight line from Yellowknife to Los Angeles?</t>
        </is>
      </c>
      <c r="F1436" s="42" t="n">
        <v>3170</v>
      </c>
      <c r="G1436" s="33" t="inlineStr">
        <is>
          <t>km</t>
        </is>
      </c>
      <c r="H1436" s="35" t="inlineStr">
        <is>
          <t>Medium</t>
        </is>
      </c>
      <c r="I1436" s="33" t="inlineStr">
        <is>
          <t>Computed great-circle distance (city centre to city centre)</t>
        </is>
      </c>
      <c r="J1436" s="35" t="n"/>
      <c r="K1436" s="33" t="n"/>
      <c r="L1436" s="35">
        <f>COUNTIFS($A$2:$A$1501,A1436,$D$2:$D$1501,D1436)</f>
        <v/>
      </c>
    </row>
    <row r="1437">
      <c r="A1437" s="35" t="n">
        <v>288</v>
      </c>
      <c r="B1437" s="41" t="n">
        <v>46587</v>
      </c>
      <c r="C1437" s="35" t="n">
        <v>1</v>
      </c>
      <c r="D1437" s="33" t="inlineStr">
        <is>
          <t>Food and Everyday Life</t>
        </is>
      </c>
      <c r="E1437" s="36" t="inlineStr">
        <is>
          <t>How many segments does a typical orange have?</t>
        </is>
      </c>
      <c r="F1437" s="42" t="n">
        <v>10</v>
      </c>
      <c r="G1437" s="33" t="inlineStr">
        <is>
          <t>segments</t>
        </is>
      </c>
      <c r="H1437" s="35" t="inlineStr">
        <is>
          <t>Medium</t>
        </is>
      </c>
      <c r="I1437" s="33" t="inlineStr">
        <is>
          <t>Britannica</t>
        </is>
      </c>
      <c r="J1437" s="35" t="n"/>
      <c r="K1437" s="33" t="inlineStr">
        <is>
          <t>Added Oct 2026. Spot check before this day goes live.</t>
        </is>
      </c>
      <c r="L1437" s="35">
        <f>COUNTIFS($A$2:$A$1501,A1437,$D$2:$D$1501,D1437)</f>
        <v/>
      </c>
    </row>
    <row r="1438">
      <c r="A1438" s="35" t="n">
        <v>288</v>
      </c>
      <c r="B1438" s="41" t="n">
        <v>46587</v>
      </c>
      <c r="C1438" s="35" t="n">
        <v>2</v>
      </c>
      <c r="D1438" s="33" t="inlineStr">
        <is>
          <t>History</t>
        </is>
      </c>
      <c r="E1438" s="36" t="inlineStr">
        <is>
          <t>How many hours did the ground war of the 1991 Gulf War last?</t>
        </is>
      </c>
      <c r="F1438" s="42" t="n">
        <v>100</v>
      </c>
      <c r="G1438" s="33" t="inlineStr">
        <is>
          <t>hours</t>
        </is>
      </c>
      <c r="H1438" s="35" t="inlineStr">
        <is>
          <t>Medium</t>
        </is>
      </c>
      <c r="I1438" s="33" t="inlineStr">
        <is>
          <t>US Army</t>
        </is>
      </c>
      <c r="J1438" s="35" t="n"/>
      <c r="K1438" s="33" t="inlineStr">
        <is>
          <t>Added Oct 2026. Spot check before this day goes live.</t>
        </is>
      </c>
      <c r="L1438" s="35">
        <f>COUNTIFS($A$2:$A$1501,A1438,$D$2:$D$1501,D1438)</f>
        <v/>
      </c>
    </row>
    <row r="1439">
      <c r="A1439" s="35" t="n">
        <v>288</v>
      </c>
      <c r="B1439" s="41" t="n">
        <v>46587</v>
      </c>
      <c r="C1439" s="35" t="n">
        <v>3</v>
      </c>
      <c r="D1439" s="33" t="inlineStr">
        <is>
          <t>Geography</t>
        </is>
      </c>
      <c r="E1439" s="36" t="inlineStr">
        <is>
          <t>How big is Egypt?</t>
        </is>
      </c>
      <c r="F1439" s="42" t="n">
        <v>1001450</v>
      </c>
      <c r="G1439" s="33" t="inlineStr">
        <is>
          <t>km²</t>
        </is>
      </c>
      <c r="H1439" s="35" t="inlineStr">
        <is>
          <t>Hard</t>
        </is>
      </c>
      <c r="I1439" s="33" t="inlineStr">
        <is>
          <t>CIA World Factbook</t>
        </is>
      </c>
      <c r="J1439" s="35" t="n"/>
      <c r="K1439" s="33" t="inlineStr">
        <is>
          <t>Added Oct 2026. Spot check before this day goes live.</t>
        </is>
      </c>
      <c r="L1439" s="35">
        <f>COUNTIFS($A$2:$A$1501,A1439,$D$2:$D$1501,D1439)</f>
        <v/>
      </c>
    </row>
    <row r="1440">
      <c r="A1440" s="35" t="n">
        <v>288</v>
      </c>
      <c r="B1440" s="41" t="n">
        <v>46587</v>
      </c>
      <c r="C1440" s="35" t="n">
        <v>4</v>
      </c>
      <c r="D1440" s="33" t="inlineStr">
        <is>
          <t>Sports</t>
        </is>
      </c>
      <c r="E1440" s="36" t="inlineStr">
        <is>
          <t>How tall was Muggsy Bogues, the shortest player in NBA history?</t>
        </is>
      </c>
      <c r="F1440" s="42" t="n">
        <v>160</v>
      </c>
      <c r="G1440" s="33" t="inlineStr">
        <is>
          <t>cm</t>
        </is>
      </c>
      <c r="H1440" s="35" t="inlineStr">
        <is>
          <t>Hard</t>
        </is>
      </c>
      <c r="I1440" s="33" t="inlineStr">
        <is>
          <t>NBA.com</t>
        </is>
      </c>
      <c r="J1440" s="35" t="n"/>
      <c r="K1440" s="33" t="inlineStr">
        <is>
          <t>Added Oct 2026. Spot check before this day goes live.</t>
        </is>
      </c>
      <c r="L1440" s="35">
        <f>COUNTIFS($A$2:$A$1501,A1440,$D$2:$D$1501,D1440)</f>
        <v/>
      </c>
    </row>
    <row r="1441">
      <c r="A1441" s="35" t="n">
        <v>288</v>
      </c>
      <c r="B1441" s="41" t="n">
        <v>46587</v>
      </c>
      <c r="C1441" s="35" t="n">
        <v>5</v>
      </c>
      <c r="D1441" s="33" t="inlineStr">
        <is>
          <t>Distance of the Day</t>
        </is>
      </c>
      <c r="E1441" s="36" t="inlineStr">
        <is>
          <t>How far is it in a straight line from Halifax to Miami?</t>
        </is>
      </c>
      <c r="F1441" s="42" t="n">
        <v>2580</v>
      </c>
      <c r="G1441" s="33" t="inlineStr">
        <is>
          <t>km</t>
        </is>
      </c>
      <c r="H1441" s="35" t="inlineStr">
        <is>
          <t>Medium</t>
        </is>
      </c>
      <c r="I1441" s="33" t="inlineStr">
        <is>
          <t>Computed great-circle distance (city centre to city centre)</t>
        </is>
      </c>
      <c r="J1441" s="35" t="n"/>
      <c r="K1441" s="33" t="n"/>
      <c r="L1441" s="35">
        <f>COUNTIFS($A$2:$A$1501,A1441,$D$2:$D$1501,D1441)</f>
        <v/>
      </c>
    </row>
    <row r="1442">
      <c r="A1442" s="35" t="n">
        <v>289</v>
      </c>
      <c r="B1442" s="41" t="n">
        <v>46588</v>
      </c>
      <c r="C1442" s="35" t="n">
        <v>1</v>
      </c>
      <c r="D1442" s="33" t="inlineStr">
        <is>
          <t>Human Body</t>
        </is>
      </c>
      <c r="E1442" s="36" t="inlineStr">
        <is>
          <t>How many bones are in each of your fingers?</t>
        </is>
      </c>
      <c r="F1442" s="42" t="n">
        <v>3</v>
      </c>
      <c r="G1442" s="33" t="inlineStr">
        <is>
          <t>bones</t>
        </is>
      </c>
      <c r="H1442" s="35" t="inlineStr">
        <is>
          <t>Easy</t>
        </is>
      </c>
      <c r="I1442" s="33" t="inlineStr">
        <is>
          <t>Britannica</t>
        </is>
      </c>
      <c r="J1442" s="35" t="n"/>
      <c r="K1442" s="33" t="inlineStr">
        <is>
          <t>Added Oct 2026. Spot check before this day goes live.</t>
        </is>
      </c>
      <c r="L1442" s="35">
        <f>COUNTIFS($A$2:$A$1501,A1442,$D$2:$D$1501,D1442)</f>
        <v/>
      </c>
    </row>
    <row r="1443">
      <c r="A1443" s="35" t="n">
        <v>289</v>
      </c>
      <c r="B1443" s="41" t="n">
        <v>46588</v>
      </c>
      <c r="C1443" s="35" t="n">
        <v>2</v>
      </c>
      <c r="D1443" s="33" t="inlineStr">
        <is>
          <t>Movies, Music and Games</t>
        </is>
      </c>
      <c r="E1443" s="36" t="inlineStr">
        <is>
          <t>How many syllables are in a traditional haiku?</t>
        </is>
      </c>
      <c r="F1443" s="42" t="n">
        <v>17</v>
      </c>
      <c r="G1443" s="33" t="inlineStr">
        <is>
          <t>syllables</t>
        </is>
      </c>
      <c r="H1443" s="35" t="inlineStr">
        <is>
          <t>Medium</t>
        </is>
      </c>
      <c r="I1443" s="33" t="inlineStr">
        <is>
          <t>Poetry Foundation</t>
        </is>
      </c>
      <c r="J1443" s="35" t="n"/>
      <c r="K1443" s="33" t="inlineStr">
        <is>
          <t>Added Oct 2026. Spot check before this day goes live.</t>
        </is>
      </c>
      <c r="L1443" s="35">
        <f>COUNTIFS($A$2:$A$1501,A1443,$D$2:$D$1501,D1443)</f>
        <v/>
      </c>
    </row>
    <row r="1444">
      <c r="A1444" s="35" t="n">
        <v>289</v>
      </c>
      <c r="B1444" s="41" t="n">
        <v>46588</v>
      </c>
      <c r="C1444" s="35" t="n">
        <v>3</v>
      </c>
      <c r="D1444" s="33" t="inlineStr">
        <is>
          <t>Animals and Nature</t>
        </is>
      </c>
      <c r="E1444" s="36" t="inlineStr">
        <is>
          <t>How fast can an ostrich run?</t>
        </is>
      </c>
      <c r="F1444" s="42" t="n">
        <v>70</v>
      </c>
      <c r="G1444" s="33" t="inlineStr">
        <is>
          <t>km/h</t>
        </is>
      </c>
      <c r="H1444" s="35" t="inlineStr">
        <is>
          <t>Medium</t>
        </is>
      </c>
      <c r="I1444" s="33" t="inlineStr">
        <is>
          <t>San Diego Zoo</t>
        </is>
      </c>
      <c r="J1444" s="35" t="n"/>
      <c r="K1444" s="33" t="inlineStr">
        <is>
          <t>Added Oct 2026. Spot check before this day goes live.</t>
        </is>
      </c>
      <c r="L1444" s="35">
        <f>COUNTIFS($A$2:$A$1501,A1444,$D$2:$D$1501,D1444)</f>
        <v/>
      </c>
    </row>
    <row r="1445">
      <c r="A1445" s="35" t="n">
        <v>289</v>
      </c>
      <c r="B1445" s="41" t="n">
        <v>46588</v>
      </c>
      <c r="C1445" s="35" t="n">
        <v>4</v>
      </c>
      <c r="D1445" s="33" t="inlineStr">
        <is>
          <t>Canada</t>
        </is>
      </c>
      <c r="E1445" s="36" t="inlineStr">
        <is>
          <t>How much water flows over Niagara Falls each second in peak season?</t>
        </is>
      </c>
      <c r="F1445" s="42" t="n">
        <v>2800</v>
      </c>
      <c r="G1445" s="33" t="inlineStr">
        <is>
          <t>m³</t>
        </is>
      </c>
      <c r="H1445" s="35" t="inlineStr">
        <is>
          <t>Hard</t>
        </is>
      </c>
      <c r="I1445" s="33" t="inlineStr">
        <is>
          <t>Niagara Parks</t>
        </is>
      </c>
      <c r="J1445" s="35" t="n"/>
      <c r="K1445" s="33" t="inlineStr">
        <is>
          <t>Added Oct 2026. Spot check before this day goes live.</t>
        </is>
      </c>
      <c r="L1445" s="35">
        <f>COUNTIFS($A$2:$A$1501,A1445,$D$2:$D$1501,D1445)</f>
        <v/>
      </c>
    </row>
    <row r="1446">
      <c r="A1446" s="35" t="n">
        <v>289</v>
      </c>
      <c r="B1446" s="41" t="n">
        <v>46588</v>
      </c>
      <c r="C1446" s="35" t="n">
        <v>5</v>
      </c>
      <c r="D1446" s="33" t="inlineStr">
        <is>
          <t>Distance of the Day</t>
        </is>
      </c>
      <c r="E1446" s="36" t="inlineStr">
        <is>
          <t>How far is it in a straight line from Bogotá to São Paulo?</t>
        </is>
      </c>
      <c r="F1446" s="42" t="n">
        <v>4330</v>
      </c>
      <c r="G1446" s="33" t="inlineStr">
        <is>
          <t>km</t>
        </is>
      </c>
      <c r="H1446" s="35" t="inlineStr">
        <is>
          <t>Medium</t>
        </is>
      </c>
      <c r="I1446" s="33" t="inlineStr">
        <is>
          <t>Computed great-circle distance (city centre to city centre)</t>
        </is>
      </c>
      <c r="J1446" s="35" t="n"/>
      <c r="K1446" s="33" t="n"/>
      <c r="L1446" s="35">
        <f>COUNTIFS($A$2:$A$1501,A1446,$D$2:$D$1501,D1446)</f>
        <v/>
      </c>
    </row>
    <row r="1447">
      <c r="A1447" s="35" t="n">
        <v>290</v>
      </c>
      <c r="B1447" s="41" t="n">
        <v>46589</v>
      </c>
      <c r="C1447" s="35" t="n">
        <v>1</v>
      </c>
      <c r="D1447" s="33" t="inlineStr">
        <is>
          <t>Space and Science</t>
        </is>
      </c>
      <c r="E1447" s="36" t="inlineStr">
        <is>
          <t>How many planets are in our solar system?</t>
        </is>
      </c>
      <c r="F1447" s="42" t="n">
        <v>8</v>
      </c>
      <c r="G1447" s="33" t="inlineStr">
        <is>
          <t>planets</t>
        </is>
      </c>
      <c r="H1447" s="35" t="inlineStr">
        <is>
          <t>Easy</t>
        </is>
      </c>
      <c r="I1447" s="33" t="inlineStr">
        <is>
          <t>NASA</t>
        </is>
      </c>
      <c r="J1447" s="35" t="n"/>
      <c r="K1447" s="33" t="inlineStr">
        <is>
          <t>Added Oct 2026. Spot check before this day goes live.</t>
        </is>
      </c>
      <c r="L1447" s="35">
        <f>COUNTIFS($A$2:$A$1501,A1447,$D$2:$D$1501,D1447)</f>
        <v/>
      </c>
    </row>
    <row r="1448">
      <c r="A1448" s="35" t="n">
        <v>290</v>
      </c>
      <c r="B1448" s="41" t="n">
        <v>46589</v>
      </c>
      <c r="C1448" s="35" t="n">
        <v>2</v>
      </c>
      <c r="D1448" s="33" t="inlineStr">
        <is>
          <t>Food and Everyday Life</t>
        </is>
      </c>
      <c r="E1448" s="36" t="inlineStr">
        <is>
          <t>How many calories are in a teaspoon of sugar?</t>
        </is>
      </c>
      <c r="F1448" s="42" t="n">
        <v>16</v>
      </c>
      <c r="G1448" s="33" t="inlineStr">
        <is>
          <t>calories</t>
        </is>
      </c>
      <c r="H1448" s="35" t="inlineStr">
        <is>
          <t>Medium</t>
        </is>
      </c>
      <c r="I1448" s="33" t="inlineStr">
        <is>
          <t>USDA FoodData Central</t>
        </is>
      </c>
      <c r="J1448" s="35" t="n"/>
      <c r="K1448" s="33" t="inlineStr">
        <is>
          <t>Added Oct 2026. Spot check before this day goes live.</t>
        </is>
      </c>
      <c r="L1448" s="35">
        <f>COUNTIFS($A$2:$A$1501,A1448,$D$2:$D$1501,D1448)</f>
        <v/>
      </c>
    </row>
    <row r="1449">
      <c r="A1449" s="35" t="n">
        <v>290</v>
      </c>
      <c r="B1449" s="41" t="n">
        <v>46589</v>
      </c>
      <c r="C1449" s="35" t="n">
        <v>3</v>
      </c>
      <c r="D1449" s="33" t="inlineStr">
        <is>
          <t>Buildings and Engineering</t>
        </is>
      </c>
      <c r="E1449" s="36" t="inlineStr">
        <is>
          <t>How wide are the newest locks on the Panama Canal?</t>
        </is>
      </c>
      <c r="F1449" s="42" t="n">
        <v>55</v>
      </c>
      <c r="G1449" s="33" t="inlineStr">
        <is>
          <t>metres</t>
        </is>
      </c>
      <c r="H1449" s="35" t="inlineStr">
        <is>
          <t>Hard</t>
        </is>
      </c>
      <c r="I1449" s="33" t="inlineStr">
        <is>
          <t>Panama Canal Authority</t>
        </is>
      </c>
      <c r="J1449" s="35" t="n"/>
      <c r="K1449" s="33" t="inlineStr">
        <is>
          <t>Added Oct 2026. Spot check before this day goes live.</t>
        </is>
      </c>
      <c r="L1449" s="35">
        <f>COUNTIFS($A$2:$A$1501,A1449,$D$2:$D$1501,D1449)</f>
        <v/>
      </c>
    </row>
    <row r="1450">
      <c r="A1450" s="35" t="n">
        <v>290</v>
      </c>
      <c r="B1450" s="41" t="n">
        <v>46589</v>
      </c>
      <c r="C1450" s="35" t="n">
        <v>4</v>
      </c>
      <c r="D1450" s="33" t="inlineStr">
        <is>
          <t>Sports</t>
        </is>
      </c>
      <c r="E1450" s="36" t="inlineStr">
        <is>
          <t>How tall was the biggest wave ever surfed, ridden at Nazaré in 2020?</t>
        </is>
      </c>
      <c r="F1450" s="42" t="n">
        <v>26.2</v>
      </c>
      <c r="G1450" s="33" t="inlineStr">
        <is>
          <t>metres</t>
        </is>
      </c>
      <c r="H1450" s="35" t="inlineStr">
        <is>
          <t>Hard</t>
        </is>
      </c>
      <c r="I1450" s="33" t="inlineStr">
        <is>
          <t>Guinness World Records</t>
        </is>
      </c>
      <c r="J1450" s="35" t="n"/>
      <c r="K1450" s="33" t="inlineStr">
        <is>
          <t>Added Oct 2026. Spot check before this day goes live.</t>
        </is>
      </c>
      <c r="L1450" s="35">
        <f>COUNTIFS($A$2:$A$1501,A1450,$D$2:$D$1501,D1450)</f>
        <v/>
      </c>
    </row>
    <row r="1451">
      <c r="A1451" s="35" t="n">
        <v>290</v>
      </c>
      <c r="B1451" s="41" t="n">
        <v>46589</v>
      </c>
      <c r="C1451" s="35" t="n">
        <v>5</v>
      </c>
      <c r="D1451" s="33" t="inlineStr">
        <is>
          <t>Distance of the Day</t>
        </is>
      </c>
      <c r="E1451" s="36" t="inlineStr">
        <is>
          <t>How far is it in a straight line from Winnipeg to Havana?</t>
        </is>
      </c>
      <c r="F1451" s="42" t="n">
        <v>3240</v>
      </c>
      <c r="G1451" s="33" t="inlineStr">
        <is>
          <t>km</t>
        </is>
      </c>
      <c r="H1451" s="35" t="inlineStr">
        <is>
          <t>Medium</t>
        </is>
      </c>
      <c r="I1451" s="33" t="inlineStr">
        <is>
          <t>Computed great-circle distance (city centre to city centre)</t>
        </is>
      </c>
      <c r="J1451" s="35" t="n"/>
      <c r="K1451" s="33" t="n"/>
      <c r="L1451" s="35">
        <f>COUNTIFS($A$2:$A$1501,A1451,$D$2:$D$1501,D1451)</f>
        <v/>
      </c>
    </row>
    <row r="1452">
      <c r="A1452" s="35" t="n">
        <v>291</v>
      </c>
      <c r="B1452" s="41" t="n">
        <v>46590</v>
      </c>
      <c r="C1452" s="35" t="n">
        <v>1</v>
      </c>
      <c r="D1452" s="33" t="inlineStr">
        <is>
          <t>History</t>
        </is>
      </c>
      <c r="E1452" s="36" t="inlineStr">
        <is>
          <t>How old was Alexander the Great when he died?</t>
        </is>
      </c>
      <c r="F1452" s="42" t="n">
        <v>32</v>
      </c>
      <c r="G1452" s="33" t="inlineStr">
        <is>
          <t>years</t>
        </is>
      </c>
      <c r="H1452" s="35" t="inlineStr">
        <is>
          <t>Medium</t>
        </is>
      </c>
      <c r="I1452" s="33" t="inlineStr">
        <is>
          <t>Britannica</t>
        </is>
      </c>
      <c r="J1452" s="35" t="n"/>
      <c r="K1452" s="33" t="inlineStr">
        <is>
          <t>Added Oct 2026. Spot check before this day goes live.</t>
        </is>
      </c>
      <c r="L1452" s="35">
        <f>COUNTIFS($A$2:$A$1501,A1452,$D$2:$D$1501,D1452)</f>
        <v/>
      </c>
    </row>
    <row r="1453">
      <c r="A1453" s="35" t="n">
        <v>291</v>
      </c>
      <c r="B1453" s="41" t="n">
        <v>46590</v>
      </c>
      <c r="C1453" s="35" t="n">
        <v>2</v>
      </c>
      <c r="D1453" s="33" t="inlineStr">
        <is>
          <t>Movies, Music and Games</t>
        </is>
      </c>
      <c r="E1453" s="36" t="inlineStr">
        <is>
          <t>How long is Top Gun: Maverick?</t>
        </is>
      </c>
      <c r="F1453" s="42" t="n">
        <v>130</v>
      </c>
      <c r="G1453" s="33" t="inlineStr">
        <is>
          <t>minutes</t>
        </is>
      </c>
      <c r="H1453" s="35" t="inlineStr">
        <is>
          <t>Medium</t>
        </is>
      </c>
      <c r="I1453" s="33" t="inlineStr">
        <is>
          <t>IMDb</t>
        </is>
      </c>
      <c r="J1453" s="35" t="n"/>
      <c r="K1453" s="33" t="inlineStr">
        <is>
          <t>Added Oct 2026. Spot check before this day goes live.</t>
        </is>
      </c>
      <c r="L1453" s="35">
        <f>COUNTIFS($A$2:$A$1501,A1453,$D$2:$D$1501,D1453)</f>
        <v/>
      </c>
    </row>
    <row r="1454">
      <c r="A1454" s="35" t="n">
        <v>291</v>
      </c>
      <c r="B1454" s="41" t="n">
        <v>46590</v>
      </c>
      <c r="C1454" s="35" t="n">
        <v>3</v>
      </c>
      <c r="D1454" s="33" t="inlineStr">
        <is>
          <t>Geography</t>
        </is>
      </c>
      <c r="E1454" s="36" t="inlineStr">
        <is>
          <t>How high above sea level is La Paz, Bolivia?</t>
        </is>
      </c>
      <c r="F1454" s="42" t="n">
        <v>3640</v>
      </c>
      <c r="G1454" s="33" t="inlineStr">
        <is>
          <t>metres</t>
        </is>
      </c>
      <c r="H1454" s="35" t="inlineStr">
        <is>
          <t>Hard</t>
        </is>
      </c>
      <c r="I1454" s="33" t="inlineStr">
        <is>
          <t>Britannica</t>
        </is>
      </c>
      <c r="J1454" s="35" t="n"/>
      <c r="K1454" s="33" t="inlineStr">
        <is>
          <t>Added Oct 2026. Spot check before this day goes live.</t>
        </is>
      </c>
      <c r="L1454" s="35">
        <f>COUNTIFS($A$2:$A$1501,A1454,$D$2:$D$1501,D1454)</f>
        <v/>
      </c>
    </row>
    <row r="1455">
      <c r="A1455" s="35" t="n">
        <v>291</v>
      </c>
      <c r="B1455" s="41" t="n">
        <v>46590</v>
      </c>
      <c r="C1455" s="35" t="n">
        <v>4</v>
      </c>
      <c r="D1455" s="33" t="inlineStr">
        <is>
          <t>Canada</t>
        </is>
      </c>
      <c r="E1455" s="36" t="inlineStr">
        <is>
          <t>How wide is a toonie?</t>
        </is>
      </c>
      <c r="F1455" s="42" t="n">
        <v>28</v>
      </c>
      <c r="G1455" s="33" t="inlineStr">
        <is>
          <t>mm</t>
        </is>
      </c>
      <c r="H1455" s="35" t="inlineStr">
        <is>
          <t>Hard</t>
        </is>
      </c>
      <c r="I1455" s="33" t="inlineStr">
        <is>
          <t>Royal Canadian Mint</t>
        </is>
      </c>
      <c r="J1455" s="35" t="n"/>
      <c r="K1455" s="33" t="inlineStr">
        <is>
          <t>Added Oct 2026. Spot check before this day goes live.</t>
        </is>
      </c>
      <c r="L1455" s="35">
        <f>COUNTIFS($A$2:$A$1501,A1455,$D$2:$D$1501,D1455)</f>
        <v/>
      </c>
    </row>
    <row r="1456">
      <c r="A1456" s="35" t="n">
        <v>291</v>
      </c>
      <c r="B1456" s="41" t="n">
        <v>46590</v>
      </c>
      <c r="C1456" s="35" t="n">
        <v>5</v>
      </c>
      <c r="D1456" s="33" t="inlineStr">
        <is>
          <t>Distance of the Day</t>
        </is>
      </c>
      <c r="E1456" s="36" t="inlineStr">
        <is>
          <t>How far is it in a straight line from Washington, D.C. to Mexico City?</t>
        </is>
      </c>
      <c r="F1456" s="42" t="n">
        <v>3030</v>
      </c>
      <c r="G1456" s="33" t="inlineStr">
        <is>
          <t>km</t>
        </is>
      </c>
      <c r="H1456" s="35" t="inlineStr">
        <is>
          <t>Medium</t>
        </is>
      </c>
      <c r="I1456" s="33" t="inlineStr">
        <is>
          <t>Computed great-circle distance (city centre to city centre)</t>
        </is>
      </c>
      <c r="J1456" s="35" t="n"/>
      <c r="K1456" s="33" t="n"/>
      <c r="L1456" s="35">
        <f>COUNTIFS($A$2:$A$1501,A1456,$D$2:$D$1501,D1456)</f>
        <v/>
      </c>
    </row>
    <row r="1457">
      <c r="A1457" s="35" t="n">
        <v>292</v>
      </c>
      <c r="B1457" s="41" t="n">
        <v>46591</v>
      </c>
      <c r="C1457" s="35" t="n">
        <v>1</v>
      </c>
      <c r="D1457" s="33" t="inlineStr">
        <is>
          <t>Space and Science</t>
        </is>
      </c>
      <c r="E1457" s="36" t="inlineStr">
        <is>
          <t>What is the atomic number of helium?</t>
        </is>
      </c>
      <c r="F1457" s="42" t="n">
        <v>2</v>
      </c>
      <c r="G1457" s="33" t="n"/>
      <c r="H1457" s="35" t="inlineStr">
        <is>
          <t>Easy</t>
        </is>
      </c>
      <c r="I1457" s="33" t="inlineStr">
        <is>
          <t>IUPAC periodic table</t>
        </is>
      </c>
      <c r="J1457" s="35" t="n"/>
      <c r="K1457" s="33" t="inlineStr">
        <is>
          <t>Added Oct 2026. Spot check before this day goes live.</t>
        </is>
      </c>
      <c r="L1457" s="35">
        <f>COUNTIFS($A$2:$A$1501,A1457,$D$2:$D$1501,D1457)</f>
        <v/>
      </c>
    </row>
    <row r="1458">
      <c r="A1458" s="35" t="n">
        <v>292</v>
      </c>
      <c r="B1458" s="41" t="n">
        <v>46591</v>
      </c>
      <c r="C1458" s="35" t="n">
        <v>2</v>
      </c>
      <c r="D1458" s="33" t="inlineStr">
        <is>
          <t>Human Body</t>
        </is>
      </c>
      <c r="E1458" s="36" t="inlineStr">
        <is>
          <t>How many days does it take your outer skin to renew itself?</t>
        </is>
      </c>
      <c r="F1458" s="42" t="n">
        <v>28</v>
      </c>
      <c r="G1458" s="33" t="inlineStr">
        <is>
          <t>days</t>
        </is>
      </c>
      <c r="H1458" s="35" t="inlineStr">
        <is>
          <t>Medium</t>
        </is>
      </c>
      <c r="I1458" s="33" t="inlineStr">
        <is>
          <t>American Academy of Dermatology</t>
        </is>
      </c>
      <c r="J1458" s="35" t="n"/>
      <c r="K1458" s="33" t="inlineStr">
        <is>
          <t>Added Oct 2026. Spot check before this day goes live.</t>
        </is>
      </c>
      <c r="L1458" s="35">
        <f>COUNTIFS($A$2:$A$1501,A1458,$D$2:$D$1501,D1458)</f>
        <v/>
      </c>
    </row>
    <row r="1459">
      <c r="A1459" s="35" t="n">
        <v>292</v>
      </c>
      <c r="B1459" s="41" t="n">
        <v>46591</v>
      </c>
      <c r="C1459" s="35" t="n">
        <v>3</v>
      </c>
      <c r="D1459" s="33" t="inlineStr">
        <is>
          <t>Food and Everyday Life</t>
        </is>
      </c>
      <c r="E1459" s="36" t="inlineStr">
        <is>
          <t>How many seconds are in a day?</t>
        </is>
      </c>
      <c r="F1459" s="42" t="n">
        <v>86400</v>
      </c>
      <c r="G1459" s="33" t="inlineStr">
        <is>
          <t>seconds</t>
        </is>
      </c>
      <c r="H1459" s="35" t="inlineStr">
        <is>
          <t>Medium</t>
        </is>
      </c>
      <c r="I1459" s="33" t="inlineStr">
        <is>
          <t>NIST</t>
        </is>
      </c>
      <c r="J1459" s="35" t="n"/>
      <c r="K1459" s="33" t="inlineStr">
        <is>
          <t>Added Oct 2026. Spot check before this day goes live.</t>
        </is>
      </c>
      <c r="L1459" s="35">
        <f>COUNTIFS($A$2:$A$1501,A1459,$D$2:$D$1501,D1459)</f>
        <v/>
      </c>
    </row>
    <row r="1460">
      <c r="A1460" s="35" t="n">
        <v>292</v>
      </c>
      <c r="B1460" s="41" t="n">
        <v>46591</v>
      </c>
      <c r="C1460" s="35" t="n">
        <v>4</v>
      </c>
      <c r="D1460" s="33" t="inlineStr">
        <is>
          <t>Buildings and Engineering</t>
        </is>
      </c>
      <c r="E1460" s="36" t="inlineStr">
        <is>
          <t>How many steps does it take to climb to the 86th floor of the Empire State Building?</t>
        </is>
      </c>
      <c r="F1460" s="42" t="n">
        <v>1576</v>
      </c>
      <c r="G1460" s="33" t="inlineStr">
        <is>
          <t>steps</t>
        </is>
      </c>
      <c r="H1460" s="35" t="inlineStr">
        <is>
          <t>Hard</t>
        </is>
      </c>
      <c r="I1460" s="33" t="inlineStr">
        <is>
          <t>Empire State Building Run-Up</t>
        </is>
      </c>
      <c r="J1460" s="35" t="n"/>
      <c r="K1460" s="33" t="inlineStr">
        <is>
          <t>Added Oct 2026. Spot check before this day goes live.</t>
        </is>
      </c>
      <c r="L1460" s="35">
        <f>COUNTIFS($A$2:$A$1501,A1460,$D$2:$D$1501,D1460)</f>
        <v/>
      </c>
    </row>
    <row r="1461">
      <c r="A1461" s="35" t="n">
        <v>292</v>
      </c>
      <c r="B1461" s="41" t="n">
        <v>46591</v>
      </c>
      <c r="C1461" s="35" t="n">
        <v>5</v>
      </c>
      <c r="D1461" s="33" t="inlineStr">
        <is>
          <t>Distance of the Day</t>
        </is>
      </c>
      <c r="E1461" s="36" t="inlineStr">
        <is>
          <t>How far is it in a straight line from Thunder Bay to Bogotá?</t>
        </is>
      </c>
      <c r="F1461" s="42" t="n">
        <v>5070</v>
      </c>
      <c r="G1461" s="33" t="inlineStr">
        <is>
          <t>km</t>
        </is>
      </c>
      <c r="H1461" s="35" t="inlineStr">
        <is>
          <t>Medium</t>
        </is>
      </c>
      <c r="I1461" s="33" t="inlineStr">
        <is>
          <t>Computed great-circle distance (city centre to city centre)</t>
        </is>
      </c>
      <c r="J1461" s="35" t="n"/>
      <c r="K1461" s="33" t="n"/>
      <c r="L1461" s="35">
        <f>COUNTIFS($A$2:$A$1501,A1461,$D$2:$D$1501,D1461)</f>
        <v/>
      </c>
    </row>
    <row r="1462">
      <c r="A1462" s="35" t="n">
        <v>293</v>
      </c>
      <c r="B1462" s="41" t="n">
        <v>46592</v>
      </c>
      <c r="C1462" s="35" t="n">
        <v>1</v>
      </c>
      <c r="D1462" s="33" t="inlineStr">
        <is>
          <t>Animals and Nature</t>
        </is>
      </c>
      <c r="E1462" s="36" t="inlineStr">
        <is>
          <t>How many humps does a dromedary camel have?</t>
        </is>
      </c>
      <c r="F1462" s="42" t="n">
        <v>1</v>
      </c>
      <c r="G1462" s="33" t="inlineStr">
        <is>
          <t>hump</t>
        </is>
      </c>
      <c r="H1462" s="35" t="inlineStr">
        <is>
          <t>Easy</t>
        </is>
      </c>
      <c r="I1462" s="33" t="inlineStr">
        <is>
          <t>San Diego Zoo</t>
        </is>
      </c>
      <c r="J1462" s="35" t="n"/>
      <c r="K1462" s="33" t="inlineStr">
        <is>
          <t>Added Oct 2026. Spot check before this day goes live.</t>
        </is>
      </c>
      <c r="L1462" s="35">
        <f>COUNTIFS($A$2:$A$1501,A1462,$D$2:$D$1501,D1462)</f>
        <v/>
      </c>
    </row>
    <row r="1463">
      <c r="A1463" s="35" t="n">
        <v>293</v>
      </c>
      <c r="B1463" s="41" t="n">
        <v>46592</v>
      </c>
      <c r="C1463" s="35" t="n">
        <v>2</v>
      </c>
      <c r="D1463" s="33" t="inlineStr">
        <is>
          <t>Movies, Music and Games</t>
        </is>
      </c>
      <c r="E1463" s="36" t="inlineStr">
        <is>
          <t>How many episodes of The Wire were made?</t>
        </is>
      </c>
      <c r="F1463" s="42" t="n">
        <v>60</v>
      </c>
      <c r="G1463" s="33" t="inlineStr">
        <is>
          <t>episodes</t>
        </is>
      </c>
      <c r="H1463" s="35" t="inlineStr">
        <is>
          <t>Medium</t>
        </is>
      </c>
      <c r="I1463" s="33" t="inlineStr">
        <is>
          <t>HBO</t>
        </is>
      </c>
      <c r="J1463" s="35" t="n"/>
      <c r="K1463" s="33" t="inlineStr">
        <is>
          <t>Added Oct 2026. Spot check before this day goes live.</t>
        </is>
      </c>
      <c r="L1463" s="35">
        <f>COUNTIFS($A$2:$A$1501,A1463,$D$2:$D$1501,D1463)</f>
        <v/>
      </c>
    </row>
    <row r="1464">
      <c r="A1464" s="35" t="n">
        <v>293</v>
      </c>
      <c r="B1464" s="41" t="n">
        <v>46592</v>
      </c>
      <c r="C1464" s="35" t="n">
        <v>3</v>
      </c>
      <c r="D1464" s="33" t="inlineStr">
        <is>
          <t>Sports</t>
        </is>
      </c>
      <c r="E1464" s="36" t="inlineStr">
        <is>
          <t>How many NHL goals did Gordie Howe score in his career?</t>
        </is>
      </c>
      <c r="F1464" s="42" t="n">
        <v>801</v>
      </c>
      <c r="G1464" s="33" t="inlineStr">
        <is>
          <t>goals</t>
        </is>
      </c>
      <c r="H1464" s="35" t="inlineStr">
        <is>
          <t>Hard</t>
        </is>
      </c>
      <c r="I1464" s="33" t="inlineStr">
        <is>
          <t>NHL.com</t>
        </is>
      </c>
      <c r="J1464" s="35" t="n"/>
      <c r="K1464" s="33" t="inlineStr">
        <is>
          <t>Added Oct 2026. Spot check before this day goes live.</t>
        </is>
      </c>
      <c r="L1464" s="35">
        <f>COUNTIFS($A$2:$A$1501,A1464,$D$2:$D$1501,D1464)</f>
        <v/>
      </c>
    </row>
    <row r="1465">
      <c r="A1465" s="35" t="n">
        <v>293</v>
      </c>
      <c r="B1465" s="41" t="n">
        <v>46592</v>
      </c>
      <c r="C1465" s="35" t="n">
        <v>4</v>
      </c>
      <c r="D1465" s="33" t="inlineStr">
        <is>
          <t>Geography</t>
        </is>
      </c>
      <c r="E1465" s="36" t="inlineStr">
        <is>
          <t>How deep is the Puerto Rico Trench, the deepest point in the Atlantic?</t>
        </is>
      </c>
      <c r="F1465" s="42" t="n">
        <v>8376</v>
      </c>
      <c r="G1465" s="33" t="inlineStr">
        <is>
          <t>metres</t>
        </is>
      </c>
      <c r="H1465" s="35" t="inlineStr">
        <is>
          <t>Hard</t>
        </is>
      </c>
      <c r="I1465" s="33" t="inlineStr">
        <is>
          <t>NOAA</t>
        </is>
      </c>
      <c r="J1465" s="35" t="n"/>
      <c r="K1465" s="33" t="inlineStr">
        <is>
          <t>Added Oct 2026. Spot check before this day goes live.</t>
        </is>
      </c>
      <c r="L1465" s="35">
        <f>COUNTIFS($A$2:$A$1501,A1465,$D$2:$D$1501,D1465)</f>
        <v/>
      </c>
    </row>
    <row r="1466">
      <c r="A1466" s="35" t="n">
        <v>293</v>
      </c>
      <c r="B1466" s="41" t="n">
        <v>46592</v>
      </c>
      <c r="C1466" s="35" t="n">
        <v>5</v>
      </c>
      <c r="D1466" s="33" t="inlineStr">
        <is>
          <t>Distance of the Day</t>
        </is>
      </c>
      <c r="E1466" s="36" t="inlineStr">
        <is>
          <t>How far is it in a straight line from Toronto to Vancouver?</t>
        </is>
      </c>
      <c r="F1466" s="42" t="n">
        <v>3360</v>
      </c>
      <c r="G1466" s="33" t="inlineStr">
        <is>
          <t>km</t>
        </is>
      </c>
      <c r="H1466" s="35" t="inlineStr">
        <is>
          <t>Medium</t>
        </is>
      </c>
      <c r="I1466" s="33" t="inlineStr">
        <is>
          <t>Computed great-circle distance (city centre to city centre)</t>
        </is>
      </c>
      <c r="J1466" s="35" t="n"/>
      <c r="K1466" s="33" t="n"/>
      <c r="L1466" s="35">
        <f>COUNTIFS($A$2:$A$1501,A1466,$D$2:$D$1501,D1466)</f>
        <v/>
      </c>
    </row>
    <row r="1467">
      <c r="A1467" s="35" t="n">
        <v>294</v>
      </c>
      <c r="B1467" s="41" t="n">
        <v>46593</v>
      </c>
      <c r="C1467" s="35" t="n">
        <v>1</v>
      </c>
      <c r="D1467" s="33" t="inlineStr">
        <is>
          <t>History</t>
        </is>
      </c>
      <c r="E1467" s="36" t="inlineStr">
        <is>
          <t>How many days did the Dunkirk evacuation last?</t>
        </is>
      </c>
      <c r="F1467" s="42" t="n">
        <v>9</v>
      </c>
      <c r="G1467" s="33" t="inlineStr">
        <is>
          <t>days</t>
        </is>
      </c>
      <c r="H1467" s="35" t="inlineStr">
        <is>
          <t>Medium</t>
        </is>
      </c>
      <c r="I1467" s="33" t="inlineStr">
        <is>
          <t>Imperial War Museums</t>
        </is>
      </c>
      <c r="J1467" s="35" t="n"/>
      <c r="K1467" s="33" t="inlineStr">
        <is>
          <t>Added Oct 2026. Spot check before this day goes live.</t>
        </is>
      </c>
      <c r="L1467" s="35">
        <f>COUNTIFS($A$2:$A$1501,A1467,$D$2:$D$1501,D1467)</f>
        <v/>
      </c>
    </row>
    <row r="1468">
      <c r="A1468" s="35" t="n">
        <v>294</v>
      </c>
      <c r="B1468" s="41" t="n">
        <v>46593</v>
      </c>
      <c r="C1468" s="35" t="n">
        <v>2</v>
      </c>
      <c r="D1468" s="33" t="inlineStr">
        <is>
          <t>Human Body</t>
        </is>
      </c>
      <c r="E1468" s="36" t="inlineStr">
        <is>
          <t>How many layers of skin does a human have?</t>
        </is>
      </c>
      <c r="F1468" s="42" t="n">
        <v>3</v>
      </c>
      <c r="G1468" s="33" t="inlineStr">
        <is>
          <t>layers</t>
        </is>
      </c>
      <c r="H1468" s="35" t="inlineStr">
        <is>
          <t>Medium</t>
        </is>
      </c>
      <c r="I1468" s="33" t="inlineStr">
        <is>
          <t>Cleveland Clinic</t>
        </is>
      </c>
      <c r="J1468" s="35" t="n"/>
      <c r="K1468" s="33" t="inlineStr">
        <is>
          <t>Added Oct 2026. Spot check before this day goes live.</t>
        </is>
      </c>
      <c r="L1468" s="35">
        <f>COUNTIFS($A$2:$A$1501,A1468,$D$2:$D$1501,D1468)</f>
        <v/>
      </c>
    </row>
    <row r="1469">
      <c r="A1469" s="35" t="n">
        <v>294</v>
      </c>
      <c r="B1469" s="41" t="n">
        <v>46593</v>
      </c>
      <c r="C1469" s="35" t="n">
        <v>3</v>
      </c>
      <c r="D1469" s="33" t="inlineStr">
        <is>
          <t>Buildings and Engineering</t>
        </is>
      </c>
      <c r="E1469" s="36" t="inlineStr">
        <is>
          <t>How fast did a French TGV go in its rail speed record run?</t>
        </is>
      </c>
      <c r="F1469" s="42" t="n">
        <v>574.8</v>
      </c>
      <c r="G1469" s="33" t="inlineStr">
        <is>
          <t>km/h</t>
        </is>
      </c>
      <c r="H1469" s="35" t="inlineStr">
        <is>
          <t>Hard</t>
        </is>
      </c>
      <c r="I1469" s="33" t="inlineStr">
        <is>
          <t>SNCF</t>
        </is>
      </c>
      <c r="J1469" s="35" t="n"/>
      <c r="K1469" s="33" t="inlineStr">
        <is>
          <t>Added Oct 2026. Spot check before this day goes live.</t>
        </is>
      </c>
      <c r="L1469" s="35">
        <f>COUNTIFS($A$2:$A$1501,A1469,$D$2:$D$1501,D1469)</f>
        <v/>
      </c>
    </row>
    <row r="1470">
      <c r="A1470" s="35" t="n">
        <v>294</v>
      </c>
      <c r="B1470" s="41" t="n">
        <v>46593</v>
      </c>
      <c r="C1470" s="35" t="n">
        <v>4</v>
      </c>
      <c r="D1470" s="33" t="inlineStr">
        <is>
          <t>Canada</t>
        </is>
      </c>
      <c r="E1470" s="36" t="inlineStr">
        <is>
          <t>How cold was the lowest temperature ever recorded in Canada, at Snag, Yukon, in degrees below zero?</t>
        </is>
      </c>
      <c r="F1470" s="42" t="n">
        <v>63</v>
      </c>
      <c r="G1470" s="33" t="inlineStr">
        <is>
          <t>°C</t>
        </is>
      </c>
      <c r="H1470" s="35" t="inlineStr">
        <is>
          <t>Hard</t>
        </is>
      </c>
      <c r="I1470" s="33" t="inlineStr">
        <is>
          <t>Environment and Climate Change Canada</t>
        </is>
      </c>
      <c r="J1470" s="35" t="n"/>
      <c r="K1470" s="33" t="inlineStr">
        <is>
          <t>Added Oct 2026. Spot check before this day goes live.</t>
        </is>
      </c>
      <c r="L1470" s="35">
        <f>COUNTIFS($A$2:$A$1501,A1470,$D$2:$D$1501,D1470)</f>
        <v/>
      </c>
    </row>
    <row r="1471">
      <c r="A1471" s="35" t="n">
        <v>294</v>
      </c>
      <c r="B1471" s="41" t="n">
        <v>46593</v>
      </c>
      <c r="C1471" s="35" t="n">
        <v>5</v>
      </c>
      <c r="D1471" s="33" t="inlineStr">
        <is>
          <t>Distance of the Day</t>
        </is>
      </c>
      <c r="E1471" s="36" t="inlineStr">
        <is>
          <t>How far is it in a straight line from Ottawa to Lima?</t>
        </is>
      </c>
      <c r="F1471" s="42" t="n">
        <v>6390</v>
      </c>
      <c r="G1471" s="33" t="inlineStr">
        <is>
          <t>km</t>
        </is>
      </c>
      <c r="H1471" s="35" t="inlineStr">
        <is>
          <t>Medium</t>
        </is>
      </c>
      <c r="I1471" s="33" t="inlineStr">
        <is>
          <t>Computed great-circle distance (city centre to city centre)</t>
        </is>
      </c>
      <c r="J1471" s="35" t="n"/>
      <c r="K1471" s="33" t="n"/>
      <c r="L1471" s="35">
        <f>COUNTIFS($A$2:$A$1501,A1471,$D$2:$D$1501,D1471)</f>
        <v/>
      </c>
    </row>
    <row r="1472">
      <c r="A1472" s="35" t="n">
        <v>295</v>
      </c>
      <c r="B1472" s="41" t="n">
        <v>46594</v>
      </c>
      <c r="C1472" s="35" t="n">
        <v>1</v>
      </c>
      <c r="D1472" s="33" t="inlineStr">
        <is>
          <t>Food and Everyday Life</t>
        </is>
      </c>
      <c r="E1472" s="36" t="inlineStr">
        <is>
          <t>How many centimetres are in an inch?</t>
        </is>
      </c>
      <c r="F1472" s="42" t="n">
        <v>2.54</v>
      </c>
      <c r="G1472" s="33" t="inlineStr">
        <is>
          <t>cm</t>
        </is>
      </c>
      <c r="H1472" s="35" t="inlineStr">
        <is>
          <t>Easy</t>
        </is>
      </c>
      <c r="I1472" s="33" t="inlineStr">
        <is>
          <t>NIST</t>
        </is>
      </c>
      <c r="J1472" s="35" t="n"/>
      <c r="K1472" s="33" t="inlineStr">
        <is>
          <t>Added Oct 2026. Spot check before this day goes live.</t>
        </is>
      </c>
      <c r="L1472" s="35">
        <f>COUNTIFS($A$2:$A$1501,A1472,$D$2:$D$1501,D1472)</f>
        <v/>
      </c>
    </row>
    <row r="1473">
      <c r="A1473" s="35" t="n">
        <v>295</v>
      </c>
      <c r="B1473" s="41" t="n">
        <v>46594</v>
      </c>
      <c r="C1473" s="35" t="n">
        <v>2</v>
      </c>
      <c r="D1473" s="33" t="inlineStr">
        <is>
          <t>Animals and Nature</t>
        </is>
      </c>
      <c r="E1473" s="36" t="inlineStr">
        <is>
          <t>How many days does a house fly live?</t>
        </is>
      </c>
      <c r="F1473" s="42" t="n">
        <v>28</v>
      </c>
      <c r="G1473" s="33" t="inlineStr">
        <is>
          <t>days</t>
        </is>
      </c>
      <c r="H1473" s="35" t="inlineStr">
        <is>
          <t>Medium</t>
        </is>
      </c>
      <c r="I1473" s="33" t="inlineStr">
        <is>
          <t>Britannica</t>
        </is>
      </c>
      <c r="J1473" s="35" t="n"/>
      <c r="K1473" s="33" t="inlineStr">
        <is>
          <t>Added Oct 2026. Spot check before this day goes live.</t>
        </is>
      </c>
      <c r="L1473" s="35">
        <f>COUNTIFS($A$2:$A$1501,A1473,$D$2:$D$1501,D1473)</f>
        <v/>
      </c>
    </row>
    <row r="1474">
      <c r="A1474" s="35" t="n">
        <v>295</v>
      </c>
      <c r="B1474" s="41" t="n">
        <v>46594</v>
      </c>
      <c r="C1474" s="35" t="n">
        <v>3</v>
      </c>
      <c r="D1474" s="33" t="inlineStr">
        <is>
          <t>Movies, Music and Games</t>
        </is>
      </c>
      <c r="E1474" s="36" t="inlineStr">
        <is>
          <t>How many episodes are in the first season of Squid Game?</t>
        </is>
      </c>
      <c r="F1474" s="42" t="n">
        <v>9</v>
      </c>
      <c r="G1474" s="33" t="inlineStr">
        <is>
          <t>episodes</t>
        </is>
      </c>
      <c r="H1474" s="35" t="inlineStr">
        <is>
          <t>Medium</t>
        </is>
      </c>
      <c r="I1474" s="33" t="inlineStr">
        <is>
          <t>Netflix</t>
        </is>
      </c>
      <c r="J1474" s="35" t="n"/>
      <c r="K1474" s="33" t="inlineStr">
        <is>
          <t>Added Oct 2026. Spot check before this day goes live.</t>
        </is>
      </c>
      <c r="L1474" s="35">
        <f>COUNTIFS($A$2:$A$1501,A1474,$D$2:$D$1501,D1474)</f>
        <v/>
      </c>
    </row>
    <row r="1475">
      <c r="A1475" s="35" t="n">
        <v>295</v>
      </c>
      <c r="B1475" s="41" t="n">
        <v>46594</v>
      </c>
      <c r="C1475" s="35" t="n">
        <v>4</v>
      </c>
      <c r="D1475" s="33" t="inlineStr">
        <is>
          <t>Space and Science</t>
        </is>
      </c>
      <c r="E1475" s="36" t="inlineStr">
        <is>
          <t>How many hours does sunlight take to reach Neptune?</t>
        </is>
      </c>
      <c r="F1475" s="42" t="n">
        <v>4.2</v>
      </c>
      <c r="G1475" s="33" t="inlineStr">
        <is>
          <t>hours</t>
        </is>
      </c>
      <c r="H1475" s="35" t="inlineStr">
        <is>
          <t>Hard</t>
        </is>
      </c>
      <c r="I1475" s="33" t="inlineStr">
        <is>
          <t>NASA</t>
        </is>
      </c>
      <c r="J1475" s="35" t="n"/>
      <c r="K1475" s="33" t="inlineStr">
        <is>
          <t>Added Oct 2026. Spot check before this day goes live.</t>
        </is>
      </c>
      <c r="L1475" s="35">
        <f>COUNTIFS($A$2:$A$1501,A1475,$D$2:$D$1501,D1475)</f>
        <v/>
      </c>
    </row>
    <row r="1476">
      <c r="A1476" s="35" t="n">
        <v>295</v>
      </c>
      <c r="B1476" s="41" t="n">
        <v>46594</v>
      </c>
      <c r="C1476" s="35" t="n">
        <v>5</v>
      </c>
      <c r="D1476" s="33" t="inlineStr">
        <is>
          <t>Distance of the Day</t>
        </is>
      </c>
      <c r="E1476" s="36" t="inlineStr">
        <is>
          <t>How far is it in a straight line from Barcelona to Doha?</t>
        </is>
      </c>
      <c r="F1476" s="42" t="n">
        <v>4850</v>
      </c>
      <c r="G1476" s="33" t="inlineStr">
        <is>
          <t>km</t>
        </is>
      </c>
      <c r="H1476" s="35" t="inlineStr">
        <is>
          <t>Medium</t>
        </is>
      </c>
      <c r="I1476" s="33" t="inlineStr">
        <is>
          <t>Computed great-circle distance (city centre to city centre)</t>
        </is>
      </c>
      <c r="J1476" s="35" t="n"/>
      <c r="K1476" s="33" t="n"/>
      <c r="L1476" s="35">
        <f>COUNTIFS($A$2:$A$1501,A1476,$D$2:$D$1501,D1476)</f>
        <v/>
      </c>
    </row>
    <row r="1477">
      <c r="A1477" s="35" t="n">
        <v>296</v>
      </c>
      <c r="B1477" s="41" t="n">
        <v>46595</v>
      </c>
      <c r="C1477" s="35" t="n">
        <v>1</v>
      </c>
      <c r="D1477" s="33" t="inlineStr">
        <is>
          <t>Human Body</t>
        </is>
      </c>
      <c r="E1477" s="36" t="inlineStr">
        <is>
          <t>How many wisdom teeth do most adults have?</t>
        </is>
      </c>
      <c r="F1477" s="42" t="n">
        <v>4</v>
      </c>
      <c r="G1477" s="33" t="inlineStr">
        <is>
          <t>teeth</t>
        </is>
      </c>
      <c r="H1477" s="35" t="inlineStr">
        <is>
          <t>Easy</t>
        </is>
      </c>
      <c r="I1477" s="33" t="inlineStr">
        <is>
          <t>Canadian Dental Association</t>
        </is>
      </c>
      <c r="J1477" s="35" t="n"/>
      <c r="K1477" s="33" t="inlineStr">
        <is>
          <t>Added Oct 2026. Spot check before this day goes live.</t>
        </is>
      </c>
      <c r="L1477" s="35">
        <f>COUNTIFS($A$2:$A$1501,A1477,$D$2:$D$1501,D1477)</f>
        <v/>
      </c>
    </row>
    <row r="1478">
      <c r="A1478" s="35" t="n">
        <v>296</v>
      </c>
      <c r="B1478" s="41" t="n">
        <v>46595</v>
      </c>
      <c r="C1478" s="35" t="n">
        <v>2</v>
      </c>
      <c r="D1478" s="33" t="inlineStr">
        <is>
          <t>History</t>
        </is>
      </c>
      <c r="E1478" s="36" t="inlineStr">
        <is>
          <t>How many people attended Woodstock in 1969?</t>
        </is>
      </c>
      <c r="F1478" s="42" t="n">
        <v>400000</v>
      </c>
      <c r="G1478" s="33" t="inlineStr">
        <is>
          <t>people</t>
        </is>
      </c>
      <c r="H1478" s="35" t="inlineStr">
        <is>
          <t>Medium</t>
        </is>
      </c>
      <c r="I1478" s="33" t="inlineStr">
        <is>
          <t>Britannica</t>
        </is>
      </c>
      <c r="J1478" s="35" t="n"/>
      <c r="K1478" s="33" t="inlineStr">
        <is>
          <t>Added Oct 2026. Spot check before this day goes live.</t>
        </is>
      </c>
      <c r="L1478" s="35">
        <f>COUNTIFS($A$2:$A$1501,A1478,$D$2:$D$1501,D1478)</f>
        <v/>
      </c>
    </row>
    <row r="1479">
      <c r="A1479" s="35" t="n">
        <v>296</v>
      </c>
      <c r="B1479" s="41" t="n">
        <v>46595</v>
      </c>
      <c r="C1479" s="35" t="n">
        <v>3</v>
      </c>
      <c r="D1479" s="33" t="inlineStr">
        <is>
          <t>Canada</t>
        </is>
      </c>
      <c r="E1479" s="36" t="inlineStr">
        <is>
          <t>How big is Vancouver Island?</t>
        </is>
      </c>
      <c r="F1479" s="42" t="n">
        <v>31285</v>
      </c>
      <c r="G1479" s="33" t="inlineStr">
        <is>
          <t>km²</t>
        </is>
      </c>
      <c r="H1479" s="35" t="inlineStr">
        <is>
          <t>Hard</t>
        </is>
      </c>
      <c r="I1479" s="33" t="inlineStr">
        <is>
          <t>Natural Resources Canada</t>
        </is>
      </c>
      <c r="J1479" s="35" t="n"/>
      <c r="K1479" s="33" t="inlineStr">
        <is>
          <t>Added Oct 2026. Spot check before this day goes live.</t>
        </is>
      </c>
      <c r="L1479" s="35">
        <f>COUNTIFS($A$2:$A$1501,A1479,$D$2:$D$1501,D1479)</f>
        <v/>
      </c>
    </row>
    <row r="1480">
      <c r="A1480" s="35" t="n">
        <v>296</v>
      </c>
      <c r="B1480" s="41" t="n">
        <v>46595</v>
      </c>
      <c r="C1480" s="35" t="n">
        <v>4</v>
      </c>
      <c r="D1480" s="33" t="inlineStr">
        <is>
          <t>Buildings and Engineering</t>
        </is>
      </c>
      <c r="E1480" s="36" t="inlineStr">
        <is>
          <t>How tall is the central tower of Angkor Wat?</t>
        </is>
      </c>
      <c r="F1480" s="42" t="n">
        <v>65</v>
      </c>
      <c r="G1480" s="33" t="inlineStr">
        <is>
          <t>metres</t>
        </is>
      </c>
      <c r="H1480" s="35" t="inlineStr">
        <is>
          <t>Hard</t>
        </is>
      </c>
      <c r="I1480" s="33" t="inlineStr">
        <is>
          <t>UNESCO</t>
        </is>
      </c>
      <c r="J1480" s="35" t="n"/>
      <c r="K1480" s="33" t="inlineStr">
        <is>
          <t>Added Oct 2026. Spot check before this day goes live.</t>
        </is>
      </c>
      <c r="L1480" s="35">
        <f>COUNTIFS($A$2:$A$1501,A1480,$D$2:$D$1501,D1480)</f>
        <v/>
      </c>
    </row>
    <row r="1481">
      <c r="A1481" s="35" t="n">
        <v>296</v>
      </c>
      <c r="B1481" s="41" t="n">
        <v>46595</v>
      </c>
      <c r="C1481" s="35" t="n">
        <v>5</v>
      </c>
      <c r="D1481" s="33" t="inlineStr">
        <is>
          <t>Distance of the Day</t>
        </is>
      </c>
      <c r="E1481" s="36" t="inlineStr">
        <is>
          <t>How far is it in a straight line from Yellowknife to Sudbury?</t>
        </is>
      </c>
      <c r="F1481" s="42" t="n">
        <v>2740</v>
      </c>
      <c r="G1481" s="33" t="inlineStr">
        <is>
          <t>km</t>
        </is>
      </c>
      <c r="H1481" s="35" t="inlineStr">
        <is>
          <t>Medium</t>
        </is>
      </c>
      <c r="I1481" s="33" t="inlineStr">
        <is>
          <t>Computed great-circle distance (city centre to city centre)</t>
        </is>
      </c>
      <c r="J1481" s="35" t="n"/>
      <c r="K1481" s="33" t="n"/>
      <c r="L1481" s="35">
        <f>COUNTIFS($A$2:$A$1501,A1481,$D$2:$D$1501,D1481)</f>
        <v/>
      </c>
    </row>
    <row r="1482">
      <c r="A1482" s="35" t="n">
        <v>297</v>
      </c>
      <c r="B1482" s="41" t="n">
        <v>46596</v>
      </c>
      <c r="C1482" s="35" t="n">
        <v>1</v>
      </c>
      <c r="D1482" s="33" t="inlineStr">
        <is>
          <t>Geography</t>
        </is>
      </c>
      <c r="E1482" s="36" t="inlineStr">
        <is>
          <t>What percentage of Earth's water is fresh water?</t>
        </is>
      </c>
      <c r="F1482" s="42" t="n">
        <v>2.5</v>
      </c>
      <c r="G1482" s="33" t="inlineStr">
        <is>
          <t>%</t>
        </is>
      </c>
      <c r="H1482" s="35" t="inlineStr">
        <is>
          <t>Medium</t>
        </is>
      </c>
      <c r="I1482" s="33" t="inlineStr">
        <is>
          <t>USGS</t>
        </is>
      </c>
      <c r="J1482" s="35" t="n"/>
      <c r="K1482" s="33" t="inlineStr">
        <is>
          <t>Added Oct 2026. Spot check before this day goes live.</t>
        </is>
      </c>
      <c r="L1482" s="35">
        <f>COUNTIFS($A$2:$A$1501,A1482,$D$2:$D$1501,D1482)</f>
        <v/>
      </c>
    </row>
    <row r="1483">
      <c r="A1483" s="35" t="n">
        <v>297</v>
      </c>
      <c r="B1483" s="41" t="n">
        <v>46596</v>
      </c>
      <c r="C1483" s="35" t="n">
        <v>2</v>
      </c>
      <c r="D1483" s="33" t="inlineStr">
        <is>
          <t>Food and Everyday Life</t>
        </is>
      </c>
      <c r="E1483" s="36" t="inlineStr">
        <is>
          <t>How wide is a queen-size bed in North America?</t>
        </is>
      </c>
      <c r="F1483" s="42" t="n">
        <v>152</v>
      </c>
      <c r="G1483" s="33" t="inlineStr">
        <is>
          <t>cm</t>
        </is>
      </c>
      <c r="H1483" s="35" t="inlineStr">
        <is>
          <t>Medium</t>
        </is>
      </c>
      <c r="I1483" s="33" t="inlineStr">
        <is>
          <t>Canadian Sleep Products Association</t>
        </is>
      </c>
      <c r="J1483" s="35" t="n"/>
      <c r="K1483" s="33" t="inlineStr">
        <is>
          <t>Added Oct 2026. Spot check before this day goes live.</t>
        </is>
      </c>
      <c r="L1483" s="35">
        <f>COUNTIFS($A$2:$A$1501,A1483,$D$2:$D$1501,D1483)</f>
        <v/>
      </c>
    </row>
    <row r="1484">
      <c r="A1484" s="35" t="n">
        <v>297</v>
      </c>
      <c r="B1484" s="41" t="n">
        <v>46596</v>
      </c>
      <c r="C1484" s="35" t="n">
        <v>3</v>
      </c>
      <c r="D1484" s="33" t="inlineStr">
        <is>
          <t>Animals and Nature</t>
        </is>
      </c>
      <c r="E1484" s="36" t="inlineStr">
        <is>
          <t>How many litres of milk does a dairy cow produce in a day?</t>
        </is>
      </c>
      <c r="F1484" s="42" t="n">
        <v>30</v>
      </c>
      <c r="G1484" s="33" t="inlineStr">
        <is>
          <t>litres</t>
        </is>
      </c>
      <c r="H1484" s="35" t="inlineStr">
        <is>
          <t>Medium</t>
        </is>
      </c>
      <c r="I1484" s="33" t="inlineStr">
        <is>
          <t>Dairy Farmers of Canada</t>
        </is>
      </c>
      <c r="J1484" s="35" t="n"/>
      <c r="K1484" s="33" t="inlineStr">
        <is>
          <t>Added Oct 2026. Spot check before this day goes live.</t>
        </is>
      </c>
      <c r="L1484" s="35">
        <f>COUNTIFS($A$2:$A$1501,A1484,$D$2:$D$1501,D1484)</f>
        <v/>
      </c>
    </row>
    <row r="1485">
      <c r="A1485" s="35" t="n">
        <v>297</v>
      </c>
      <c r="B1485" s="41" t="n">
        <v>46596</v>
      </c>
      <c r="C1485" s="35" t="n">
        <v>4</v>
      </c>
      <c r="D1485" s="33" t="inlineStr">
        <is>
          <t>Sports</t>
        </is>
      </c>
      <c r="E1485" s="36" t="inlineStr">
        <is>
          <t>How long did the longest tennis match ever, Isner vs. Mahut at Wimbledon 2010, last?</t>
        </is>
      </c>
      <c r="F1485" s="42" t="n">
        <v>665</v>
      </c>
      <c r="G1485" s="33" t="inlineStr">
        <is>
          <t>minutes</t>
        </is>
      </c>
      <c r="H1485" s="35" t="inlineStr">
        <is>
          <t>Hard</t>
        </is>
      </c>
      <c r="I1485" s="33" t="inlineStr">
        <is>
          <t>Wimbledon</t>
        </is>
      </c>
      <c r="J1485" s="35" t="n"/>
      <c r="K1485" s="33" t="inlineStr">
        <is>
          <t>Added Oct 2026. Spot check before this day goes live.</t>
        </is>
      </c>
      <c r="L1485" s="35">
        <f>COUNTIFS($A$2:$A$1501,A1485,$D$2:$D$1501,D1485)</f>
        <v/>
      </c>
    </row>
    <row r="1486">
      <c r="A1486" s="35" t="n">
        <v>297</v>
      </c>
      <c r="B1486" s="41" t="n">
        <v>46596</v>
      </c>
      <c r="C1486" s="35" t="n">
        <v>5</v>
      </c>
      <c r="D1486" s="33" t="inlineStr">
        <is>
          <t>Distance of the Day</t>
        </is>
      </c>
      <c r="E1486" s="36" t="inlineStr">
        <is>
          <t>How far is it in a straight line from Cancún to Buenos Aires?</t>
        </is>
      </c>
      <c r="F1486" s="42" t="n">
        <v>6890</v>
      </c>
      <c r="G1486" s="33" t="inlineStr">
        <is>
          <t>km</t>
        </is>
      </c>
      <c r="H1486" s="35" t="inlineStr">
        <is>
          <t>Medium</t>
        </is>
      </c>
      <c r="I1486" s="33" t="inlineStr">
        <is>
          <t>Computed great-circle distance (city centre to city centre)</t>
        </is>
      </c>
      <c r="J1486" s="35" t="n"/>
      <c r="K1486" s="33" t="n"/>
      <c r="L1486" s="35">
        <f>COUNTIFS($A$2:$A$1501,A1486,$D$2:$D$1501,D1486)</f>
        <v/>
      </c>
    </row>
    <row r="1487">
      <c r="A1487" s="35" t="n">
        <v>298</v>
      </c>
      <c r="B1487" s="41" t="n">
        <v>46597</v>
      </c>
      <c r="C1487" s="35" t="n">
        <v>1</v>
      </c>
      <c r="D1487" s="33" t="inlineStr">
        <is>
          <t>Space and Science</t>
        </is>
      </c>
      <c r="E1487" s="36" t="inlineStr">
        <is>
          <t>How many moons does Earth have?</t>
        </is>
      </c>
      <c r="F1487" s="42" t="n">
        <v>1</v>
      </c>
      <c r="G1487" s="33" t="inlineStr">
        <is>
          <t>moon</t>
        </is>
      </c>
      <c r="H1487" s="35" t="inlineStr">
        <is>
          <t>Easy</t>
        </is>
      </c>
      <c r="I1487" s="33" t="inlineStr">
        <is>
          <t>NASA</t>
        </is>
      </c>
      <c r="J1487" s="35" t="n"/>
      <c r="K1487" s="33" t="inlineStr">
        <is>
          <t>Added Oct 2026. Spot check before this day goes live.</t>
        </is>
      </c>
      <c r="L1487" s="35">
        <f>COUNTIFS($A$2:$A$1501,A1487,$D$2:$D$1501,D1487)</f>
        <v/>
      </c>
    </row>
    <row r="1488">
      <c r="A1488" s="35" t="n">
        <v>298</v>
      </c>
      <c r="B1488" s="41" t="n">
        <v>46597</v>
      </c>
      <c r="C1488" s="35" t="n">
        <v>2</v>
      </c>
      <c r="D1488" s="33" t="inlineStr">
        <is>
          <t>History</t>
        </is>
      </c>
      <c r="E1488" s="36" t="inlineStr">
        <is>
          <t>How many countries founded NATO?</t>
        </is>
      </c>
      <c r="F1488" s="42" t="n">
        <v>12</v>
      </c>
      <c r="G1488" s="33" t="inlineStr">
        <is>
          <t>countries</t>
        </is>
      </c>
      <c r="H1488" s="35" t="inlineStr">
        <is>
          <t>Medium</t>
        </is>
      </c>
      <c r="I1488" s="33" t="inlineStr">
        <is>
          <t>NATO</t>
        </is>
      </c>
      <c r="J1488" s="35" t="n"/>
      <c r="K1488" s="33" t="inlineStr">
        <is>
          <t>Added Oct 2026. Spot check before this day goes live.</t>
        </is>
      </c>
      <c r="L1488" s="35">
        <f>COUNTIFS($A$2:$A$1501,A1488,$D$2:$D$1501,D1488)</f>
        <v/>
      </c>
    </row>
    <row r="1489">
      <c r="A1489" s="35" t="n">
        <v>298</v>
      </c>
      <c r="B1489" s="41" t="n">
        <v>46597</v>
      </c>
      <c r="C1489" s="35" t="n">
        <v>3</v>
      </c>
      <c r="D1489" s="33" t="inlineStr">
        <is>
          <t>Buildings and Engineering</t>
        </is>
      </c>
      <c r="E1489" s="36" t="inlineStr">
        <is>
          <t>How many rooms does the Palace of Versailles have?</t>
        </is>
      </c>
      <c r="F1489" s="42" t="n">
        <v>2300</v>
      </c>
      <c r="G1489" s="33" t="inlineStr">
        <is>
          <t>rooms</t>
        </is>
      </c>
      <c r="H1489" s="35" t="inlineStr">
        <is>
          <t>Hard</t>
        </is>
      </c>
      <c r="I1489" s="33" t="inlineStr">
        <is>
          <t>Château de Versailles</t>
        </is>
      </c>
      <c r="J1489" s="35" t="n"/>
      <c r="K1489" s="33" t="inlineStr">
        <is>
          <t>Added Oct 2026. Spot check before this day goes live.</t>
        </is>
      </c>
      <c r="L1489" s="35">
        <f>COUNTIFS($A$2:$A$1501,A1489,$D$2:$D$1501,D1489)</f>
        <v/>
      </c>
    </row>
    <row r="1490">
      <c r="A1490" s="35" t="n">
        <v>298</v>
      </c>
      <c r="B1490" s="41" t="n">
        <v>46597</v>
      </c>
      <c r="C1490" s="35" t="n">
        <v>4</v>
      </c>
      <c r="D1490" s="33" t="inlineStr">
        <is>
          <t>Canada</t>
        </is>
      </c>
      <c r="E1490" s="36" t="inlineStr">
        <is>
          <t>How long is the Saint John River?</t>
        </is>
      </c>
      <c r="F1490" s="42" t="n">
        <v>673</v>
      </c>
      <c r="G1490" s="33" t="inlineStr">
        <is>
          <t>km</t>
        </is>
      </c>
      <c r="H1490" s="35" t="inlineStr">
        <is>
          <t>Hard</t>
        </is>
      </c>
      <c r="I1490" s="33" t="inlineStr">
        <is>
          <t>Government of New Brunswick</t>
        </is>
      </c>
      <c r="J1490" s="35" t="n"/>
      <c r="K1490" s="33" t="inlineStr">
        <is>
          <t>Added Oct 2026. Spot check before this day goes live.</t>
        </is>
      </c>
      <c r="L1490" s="35">
        <f>COUNTIFS($A$2:$A$1501,A1490,$D$2:$D$1501,D1490)</f>
        <v/>
      </c>
    </row>
    <row r="1491">
      <c r="A1491" s="35" t="n">
        <v>298</v>
      </c>
      <c r="B1491" s="41" t="n">
        <v>46597</v>
      </c>
      <c r="C1491" s="35" t="n">
        <v>5</v>
      </c>
      <c r="D1491" s="33" t="inlineStr">
        <is>
          <t>Distance of the Day</t>
        </is>
      </c>
      <c r="E1491" s="36" t="inlineStr">
        <is>
          <t>How far is it in a straight line from Nairobi to Jakarta?</t>
        </is>
      </c>
      <c r="F1491" s="42" t="n">
        <v>7780</v>
      </c>
      <c r="G1491" s="33" t="inlineStr">
        <is>
          <t>km</t>
        </is>
      </c>
      <c r="H1491" s="35" t="inlineStr">
        <is>
          <t>Medium</t>
        </is>
      </c>
      <c r="I1491" s="33" t="inlineStr">
        <is>
          <t>Computed great-circle distance (city centre to city centre)</t>
        </is>
      </c>
      <c r="J1491" s="35" t="n"/>
      <c r="K1491" s="33" t="n"/>
      <c r="L1491" s="35">
        <f>COUNTIFS($A$2:$A$1501,A1491,$D$2:$D$1501,D1491)</f>
        <v/>
      </c>
    </row>
    <row r="1492">
      <c r="A1492" s="35" t="n">
        <v>299</v>
      </c>
      <c r="B1492" s="41" t="n">
        <v>46598</v>
      </c>
      <c r="C1492" s="35" t="n">
        <v>1</v>
      </c>
      <c r="D1492" s="33" t="inlineStr">
        <is>
          <t>Human Body</t>
        </is>
      </c>
      <c r="E1492" s="36" t="inlineStr">
        <is>
          <t>How many chromosomes are in a normal human cell?</t>
        </is>
      </c>
      <c r="F1492" s="42" t="n">
        <v>46</v>
      </c>
      <c r="G1492" s="33" t="inlineStr">
        <is>
          <t>chromosomes</t>
        </is>
      </c>
      <c r="H1492" s="35" t="inlineStr">
        <is>
          <t>Easy</t>
        </is>
      </c>
      <c r="I1492" s="33" t="inlineStr">
        <is>
          <t>NIH</t>
        </is>
      </c>
      <c r="J1492" s="35" t="n"/>
      <c r="K1492" s="33" t="inlineStr">
        <is>
          <t>Added Oct 2026. Spot check before this day goes live.</t>
        </is>
      </c>
      <c r="L1492" s="35">
        <f>COUNTIFS($A$2:$A$1501,A1492,$D$2:$D$1501,D1492)</f>
        <v/>
      </c>
    </row>
    <row r="1493">
      <c r="A1493" s="35" t="n">
        <v>299</v>
      </c>
      <c r="B1493" s="41" t="n">
        <v>46598</v>
      </c>
      <c r="C1493" s="35" t="n">
        <v>2</v>
      </c>
      <c r="D1493" s="33" t="inlineStr">
        <is>
          <t>Geography</t>
        </is>
      </c>
      <c r="E1493" s="36" t="inlineStr">
        <is>
          <t>What percentage of the world's unfrozen fresh surface water is in Lake Baikal?</t>
        </is>
      </c>
      <c r="F1493" s="42" t="n">
        <v>20</v>
      </c>
      <c r="G1493" s="33" t="inlineStr">
        <is>
          <t>%</t>
        </is>
      </c>
      <c r="H1493" s="35" t="inlineStr">
        <is>
          <t>Medium</t>
        </is>
      </c>
      <c r="I1493" s="33" t="inlineStr">
        <is>
          <t>UNESCO</t>
        </is>
      </c>
      <c r="J1493" s="35" t="n"/>
      <c r="K1493" s="33" t="inlineStr">
        <is>
          <t>Added Oct 2026. Spot check before this day goes live.</t>
        </is>
      </c>
      <c r="L1493" s="35">
        <f>COUNTIFS($A$2:$A$1501,A1493,$D$2:$D$1501,D1493)</f>
        <v/>
      </c>
    </row>
    <row r="1494">
      <c r="A1494" s="35" t="n">
        <v>299</v>
      </c>
      <c r="B1494" s="41" t="n">
        <v>46598</v>
      </c>
      <c r="C1494" s="35" t="n">
        <v>3</v>
      </c>
      <c r="D1494" s="33" t="inlineStr">
        <is>
          <t>Movies, Music and Games</t>
        </is>
      </c>
      <c r="E1494" s="36" t="inlineStr">
        <is>
          <t>How many Oscars did The Lord of the Rings: The Return of the King win?</t>
        </is>
      </c>
      <c r="F1494" s="42" t="n">
        <v>11</v>
      </c>
      <c r="G1494" s="33" t="inlineStr">
        <is>
          <t>Oscars</t>
        </is>
      </c>
      <c r="H1494" s="35" t="inlineStr">
        <is>
          <t>Medium</t>
        </is>
      </c>
      <c r="I1494" s="33" t="inlineStr">
        <is>
          <t>Academy of Motion Picture Arts and Sciences</t>
        </is>
      </c>
      <c r="J1494" s="35" t="n"/>
      <c r="K1494" s="33" t="inlineStr">
        <is>
          <t>Added Oct 2026. Spot check before this day goes live.</t>
        </is>
      </c>
      <c r="L1494" s="35">
        <f>COUNTIFS($A$2:$A$1501,A1494,$D$2:$D$1501,D1494)</f>
        <v/>
      </c>
    </row>
    <row r="1495">
      <c r="A1495" s="35" t="n">
        <v>299</v>
      </c>
      <c r="B1495" s="41" t="n">
        <v>46598</v>
      </c>
      <c r="C1495" s="35" t="n">
        <v>4</v>
      </c>
      <c r="D1495" s="33" t="inlineStr">
        <is>
          <t>Sports</t>
        </is>
      </c>
      <c r="E1495" s="36" t="inlineStr">
        <is>
          <t>How many regular-season shutouts did Martin Brodeur record?</t>
        </is>
      </c>
      <c r="F1495" s="42" t="n">
        <v>125</v>
      </c>
      <c r="G1495" s="33" t="inlineStr">
        <is>
          <t>shutouts</t>
        </is>
      </c>
      <c r="H1495" s="35" t="inlineStr">
        <is>
          <t>Hard</t>
        </is>
      </c>
      <c r="I1495" s="33" t="inlineStr">
        <is>
          <t>NHL.com</t>
        </is>
      </c>
      <c r="J1495" s="35" t="n"/>
      <c r="K1495" s="33" t="inlineStr">
        <is>
          <t>Added Oct 2026. Spot check before this day goes live.</t>
        </is>
      </c>
      <c r="L1495" s="35">
        <f>COUNTIFS($A$2:$A$1501,A1495,$D$2:$D$1501,D1495)</f>
        <v/>
      </c>
    </row>
    <row r="1496">
      <c r="A1496" s="35" t="n">
        <v>299</v>
      </c>
      <c r="B1496" s="41" t="n">
        <v>46598</v>
      </c>
      <c r="C1496" s="35" t="n">
        <v>5</v>
      </c>
      <c r="D1496" s="33" t="inlineStr">
        <is>
          <t>Distance of the Day</t>
        </is>
      </c>
      <c r="E1496" s="36" t="inlineStr">
        <is>
          <t>How far is it in a straight line from Bogotá to Casablanca?</t>
        </is>
      </c>
      <c r="F1496" s="42" t="n">
        <v>7550</v>
      </c>
      <c r="G1496" s="33" t="inlineStr">
        <is>
          <t>km</t>
        </is>
      </c>
      <c r="H1496" s="35" t="inlineStr">
        <is>
          <t>Medium</t>
        </is>
      </c>
      <c r="I1496" s="33" t="inlineStr">
        <is>
          <t>Computed great-circle distance (city centre to city centre)</t>
        </is>
      </c>
      <c r="J1496" s="35" t="n"/>
      <c r="K1496" s="33" t="n"/>
      <c r="L1496" s="35">
        <f>COUNTIFS($A$2:$A$1501,A1496,$D$2:$D$1501,D1496)</f>
        <v/>
      </c>
    </row>
    <row r="1497">
      <c r="A1497" s="35" t="n">
        <v>300</v>
      </c>
      <c r="B1497" s="41" t="n">
        <v>46599</v>
      </c>
      <c r="C1497" s="35" t="n">
        <v>1</v>
      </c>
      <c r="D1497" s="33" t="inlineStr">
        <is>
          <t>History</t>
        </is>
      </c>
      <c r="E1497" s="36" t="inlineStr">
        <is>
          <t>How many years did the Vietnam War last, roughly?</t>
        </is>
      </c>
      <c r="F1497" s="42" t="n">
        <v>20</v>
      </c>
      <c r="G1497" s="33" t="inlineStr">
        <is>
          <t>years</t>
        </is>
      </c>
      <c r="H1497" s="35" t="inlineStr">
        <is>
          <t>Medium</t>
        </is>
      </c>
      <c r="I1497" s="33" t="inlineStr">
        <is>
          <t>Britannica</t>
        </is>
      </c>
      <c r="J1497" s="35" t="n"/>
      <c r="K1497" s="33" t="inlineStr">
        <is>
          <t>Added Oct 2026. Spot check before this day goes live.</t>
        </is>
      </c>
      <c r="L1497" s="35">
        <f>COUNTIFS($A$2:$A$1501,A1497,$D$2:$D$1501,D1497)</f>
        <v/>
      </c>
    </row>
    <row r="1498">
      <c r="A1498" s="35" t="n">
        <v>300</v>
      </c>
      <c r="B1498" s="41" t="n">
        <v>46599</v>
      </c>
      <c r="C1498" s="35" t="n">
        <v>2</v>
      </c>
      <c r="D1498" s="33" t="inlineStr">
        <is>
          <t>Animals and Nature</t>
        </is>
      </c>
      <c r="E1498" s="36" t="inlineStr">
        <is>
          <t>How heavy is an adult male silverback gorilla?</t>
        </is>
      </c>
      <c r="F1498" s="42" t="n">
        <v>160</v>
      </c>
      <c r="G1498" s="33" t="inlineStr">
        <is>
          <t>kg</t>
        </is>
      </c>
      <c r="H1498" s="35" t="inlineStr">
        <is>
          <t>Medium</t>
        </is>
      </c>
      <c r="I1498" s="33" t="inlineStr">
        <is>
          <t>WWF</t>
        </is>
      </c>
      <c r="J1498" s="35" t="n"/>
      <c r="K1498" s="33" t="inlineStr">
        <is>
          <t>Added Oct 2026. Spot check before this day goes live.</t>
        </is>
      </c>
      <c r="L1498" s="35">
        <f>COUNTIFS($A$2:$A$1501,A1498,$D$2:$D$1501,D1498)</f>
        <v/>
      </c>
    </row>
    <row r="1499">
      <c r="A1499" s="35" t="n">
        <v>300</v>
      </c>
      <c r="B1499" s="41" t="n">
        <v>46599</v>
      </c>
      <c r="C1499" s="35" t="n">
        <v>3</v>
      </c>
      <c r="D1499" s="33" t="inlineStr">
        <is>
          <t>Space and Science</t>
        </is>
      </c>
      <c r="E1499" s="36" t="inlineStr">
        <is>
          <t>What is the diameter of Mars?</t>
        </is>
      </c>
      <c r="F1499" s="42" t="n">
        <v>6779</v>
      </c>
      <c r="G1499" s="33" t="inlineStr">
        <is>
          <t>km</t>
        </is>
      </c>
      <c r="H1499" s="35" t="inlineStr">
        <is>
          <t>Hard</t>
        </is>
      </c>
      <c r="I1499" s="33" t="inlineStr">
        <is>
          <t>NASA</t>
        </is>
      </c>
      <c r="J1499" s="35" t="n"/>
      <c r="K1499" s="33" t="inlineStr">
        <is>
          <t>Added Oct 2026. Spot check before this day goes live.</t>
        </is>
      </c>
      <c r="L1499" s="35">
        <f>COUNTIFS($A$2:$A$1501,A1499,$D$2:$D$1501,D1499)</f>
        <v/>
      </c>
    </row>
    <row r="1500">
      <c r="A1500" s="35" t="n">
        <v>300</v>
      </c>
      <c r="B1500" s="41" t="n">
        <v>46599</v>
      </c>
      <c r="C1500" s="35" t="n">
        <v>4</v>
      </c>
      <c r="D1500" s="33" t="inlineStr">
        <is>
          <t>Canada</t>
        </is>
      </c>
      <c r="E1500" s="36" t="inlineStr">
        <is>
          <t>How many people died in the 1917 Halifax Explosion, roughly?</t>
        </is>
      </c>
      <c r="F1500" s="42" t="n">
        <v>2000</v>
      </c>
      <c r="G1500" s="33" t="inlineStr">
        <is>
          <t>people</t>
        </is>
      </c>
      <c r="H1500" s="35" t="inlineStr">
        <is>
          <t>Hard</t>
        </is>
      </c>
      <c r="I1500" s="33" t="inlineStr">
        <is>
          <t>Canadian War Museum</t>
        </is>
      </c>
      <c r="J1500" s="35" t="n"/>
      <c r="K1500" s="33" t="inlineStr">
        <is>
          <t>Added Oct 2026. Spot check before this day goes live.</t>
        </is>
      </c>
      <c r="L1500" s="35">
        <f>COUNTIFS($A$2:$A$1501,A1500,$D$2:$D$1501,D1500)</f>
        <v/>
      </c>
    </row>
    <row r="1501">
      <c r="A1501" s="35" t="n">
        <v>300</v>
      </c>
      <c r="B1501" s="41" t="n">
        <v>46599</v>
      </c>
      <c r="C1501" s="35" t="n">
        <v>5</v>
      </c>
      <c r="D1501" s="33" t="inlineStr">
        <is>
          <t>Distance of the Day</t>
        </is>
      </c>
      <c r="E1501" s="36" t="inlineStr">
        <is>
          <t>How far is it in a straight line from Fredericton to Vienna?</t>
        </is>
      </c>
      <c r="F1501" s="42" t="n">
        <v>5970</v>
      </c>
      <c r="G1501" s="33" t="inlineStr">
        <is>
          <t>km</t>
        </is>
      </c>
      <c r="H1501" s="35" t="inlineStr">
        <is>
          <t>Medium</t>
        </is>
      </c>
      <c r="I1501" s="33" t="inlineStr">
        <is>
          <t>Computed great-circle distance (city centre to city centre)</t>
        </is>
      </c>
      <c r="J1501" s="35" t="n"/>
      <c r="K1501" s="33" t="n"/>
      <c r="L1501" s="35">
        <f>COUNTIFS($A$2:$A$1501,A1501,$D$2:$D$1501,D1501)</f>
        <v/>
      </c>
    </row>
  </sheetData>
  <autoFilter ref="A1:L1501"/>
  <conditionalFormatting sqref="L2:L1501">
    <cfRule type="cellIs" rank="0" priority="2" equalAverage="0" operator="greaterThan" aboveAverage="0" dxfId="4" text="" percent="0" bottom="0">
      <formula>1</formula>
    </cfRule>
  </conditionalFormatting>
  <conditionalFormatting sqref="J2:J1501">
    <cfRule type="cellIs" rank="0" priority="3" equalAverage="0" operator="equal" aboveAverage="0" dxfId="4" text="" percent="0" bottom="0">
      <formula>"Fix needed"</formula>
    </cfRule>
    <cfRule type="cellIs" rank="0" priority="4" equalAverage="0" operator="equal" aboveAverage="0" dxfId="5" text="" percent="0" bottom="0">
      <formula>"Yes"</formula>
    </cfRule>
  </conditionalFormatting>
  <dataValidations count="1">
    <dataValidation sqref="J2:J1501" showDropDown="0" showInputMessage="0" showErrorMessage="0" allowBlank="1" type="list" errorStyle="stop" operator="between">
      <formula1>"Yes,No,Fix needed"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1F6F6B"/>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5" min="1" max="1"/>
    <col width="12" customWidth="1" style="25" min="2" max="2"/>
    <col width="10" customWidth="1" style="25" min="3" max="5"/>
  </cols>
  <sheetData>
    <row r="1" ht="15" customHeight="1" s="26">
      <c r="A1" s="32" t="inlineStr">
        <is>
          <t>Category</t>
        </is>
      </c>
      <c r="B1" s="32" t="inlineStr">
        <is>
          <t>Questions</t>
        </is>
      </c>
      <c r="C1" s="32" t="inlineStr">
        <is>
          <t>Easy</t>
        </is>
      </c>
      <c r="D1" s="32" t="inlineStr">
        <is>
          <t>Medium</t>
        </is>
      </c>
      <c r="E1" s="32" t="inlineStr">
        <is>
          <t>Hard</t>
        </is>
      </c>
    </row>
    <row r="2" ht="15" customHeight="1" s="26">
      <c r="A2" s="36" t="inlineStr">
        <is>
          <t>Animals and Nature</t>
        </is>
      </c>
      <c r="B2" s="35">
        <f>COUNTIF('Daily Questions'!$D$2:$D$1501,A2)</f>
        <v/>
      </c>
      <c r="C2" s="35">
        <f>COUNTIFS('Daily Questions'!$D$2:$D$1501,A2,'Daily Questions'!$H$2:$H$1501,"Easy")</f>
        <v/>
      </c>
      <c r="D2" s="35">
        <f>COUNTIFS('Daily Questions'!$D$2:$D$1501,A2,'Daily Questions'!$H$2:$H$1501,"Medium")</f>
        <v/>
      </c>
      <c r="E2" s="35">
        <f>COUNTIFS('Daily Questions'!$D$2:$D$1501,A2,'Daily Questions'!$H$2:$H$1501,"Hard")</f>
        <v/>
      </c>
    </row>
    <row r="3" ht="15" customHeight="1" s="26">
      <c r="A3" s="36" t="inlineStr">
        <is>
          <t>Buildings and Engineering</t>
        </is>
      </c>
      <c r="B3" s="35">
        <f>COUNTIF('Daily Questions'!$D$2:$D$1501,A3)</f>
        <v/>
      </c>
      <c r="C3" s="35">
        <f>COUNTIFS('Daily Questions'!$D$2:$D$1501,A3,'Daily Questions'!$H$2:$H$1501,"Easy")</f>
        <v/>
      </c>
      <c r="D3" s="35">
        <f>COUNTIFS('Daily Questions'!$D$2:$D$1501,A3,'Daily Questions'!$H$2:$H$1501,"Medium")</f>
        <v/>
      </c>
      <c r="E3" s="35">
        <f>COUNTIFS('Daily Questions'!$D$2:$D$1501,A3,'Daily Questions'!$H$2:$H$1501,"Hard")</f>
        <v/>
      </c>
    </row>
    <row r="4" ht="15" customHeight="1" s="26">
      <c r="A4" s="36" t="inlineStr">
        <is>
          <t>Canada</t>
        </is>
      </c>
      <c r="B4" s="35">
        <f>COUNTIF('Daily Questions'!$D$2:$D$1501,A4)</f>
        <v/>
      </c>
      <c r="C4" s="35">
        <f>COUNTIFS('Daily Questions'!$D$2:$D$1501,A4,'Daily Questions'!$H$2:$H$1501,"Easy")</f>
        <v/>
      </c>
      <c r="D4" s="35">
        <f>COUNTIFS('Daily Questions'!$D$2:$D$1501,A4,'Daily Questions'!$H$2:$H$1501,"Medium")</f>
        <v/>
      </c>
      <c r="E4" s="35">
        <f>COUNTIFS('Daily Questions'!$D$2:$D$1501,A4,'Daily Questions'!$H$2:$H$1501,"Hard")</f>
        <v/>
      </c>
    </row>
    <row r="5" ht="15" customHeight="1" s="26">
      <c r="A5" s="36" t="inlineStr">
        <is>
          <t>Distance of the Day</t>
        </is>
      </c>
      <c r="B5" s="35">
        <f>COUNTIF('Daily Questions'!$D$2:$D$1501,A5)</f>
        <v/>
      </c>
      <c r="C5" s="35">
        <f>COUNTIFS('Daily Questions'!$D$2:$D$1501,A5,'Daily Questions'!$H$2:$H$1501,"Easy")</f>
        <v/>
      </c>
      <c r="D5" s="35">
        <f>COUNTIFS('Daily Questions'!$D$2:$D$1501,A5,'Daily Questions'!$H$2:$H$1501,"Medium")</f>
        <v/>
      </c>
      <c r="E5" s="35">
        <f>COUNTIFS('Daily Questions'!$D$2:$D$1501,A5,'Daily Questions'!$H$2:$H$1501,"Hard")</f>
        <v/>
      </c>
    </row>
    <row r="6" ht="15" customHeight="1" s="26">
      <c r="A6" s="36" t="inlineStr">
        <is>
          <t>Food and Everyday Life</t>
        </is>
      </c>
      <c r="B6" s="35">
        <f>COUNTIF('Daily Questions'!$D$2:$D$1501,A6)</f>
        <v/>
      </c>
      <c r="C6" s="35">
        <f>COUNTIFS('Daily Questions'!$D$2:$D$1501,A6,'Daily Questions'!$H$2:$H$1501,"Easy")</f>
        <v/>
      </c>
      <c r="D6" s="35">
        <f>COUNTIFS('Daily Questions'!$D$2:$D$1501,A6,'Daily Questions'!$H$2:$H$1501,"Medium")</f>
        <v/>
      </c>
      <c r="E6" s="35">
        <f>COUNTIFS('Daily Questions'!$D$2:$D$1501,A6,'Daily Questions'!$H$2:$H$1501,"Hard")</f>
        <v/>
      </c>
    </row>
    <row r="7" ht="15" customHeight="1" s="26">
      <c r="A7" s="36" t="inlineStr">
        <is>
          <t>Geography</t>
        </is>
      </c>
      <c r="B7" s="35">
        <f>COUNTIF('Daily Questions'!$D$2:$D$1501,A7)</f>
        <v/>
      </c>
      <c r="C7" s="35">
        <f>COUNTIFS('Daily Questions'!$D$2:$D$1501,A7,'Daily Questions'!$H$2:$H$1501,"Easy")</f>
        <v/>
      </c>
      <c r="D7" s="35">
        <f>COUNTIFS('Daily Questions'!$D$2:$D$1501,A7,'Daily Questions'!$H$2:$H$1501,"Medium")</f>
        <v/>
      </c>
      <c r="E7" s="35">
        <f>COUNTIFS('Daily Questions'!$D$2:$D$1501,A7,'Daily Questions'!$H$2:$H$1501,"Hard")</f>
        <v/>
      </c>
    </row>
    <row r="8" ht="15" customHeight="1" s="26">
      <c r="A8" s="36" t="inlineStr">
        <is>
          <t>History</t>
        </is>
      </c>
      <c r="B8" s="35">
        <f>COUNTIF('Daily Questions'!$D$2:$D$1501,A8)</f>
        <v/>
      </c>
      <c r="C8" s="35">
        <f>COUNTIFS('Daily Questions'!$D$2:$D$1501,A8,'Daily Questions'!$H$2:$H$1501,"Easy")</f>
        <v/>
      </c>
      <c r="D8" s="35">
        <f>COUNTIFS('Daily Questions'!$D$2:$D$1501,A8,'Daily Questions'!$H$2:$H$1501,"Medium")</f>
        <v/>
      </c>
      <c r="E8" s="35">
        <f>COUNTIFS('Daily Questions'!$D$2:$D$1501,A8,'Daily Questions'!$H$2:$H$1501,"Hard")</f>
        <v/>
      </c>
    </row>
    <row r="9" ht="15" customHeight="1" s="26">
      <c r="A9" s="36" t="inlineStr">
        <is>
          <t>Human Body</t>
        </is>
      </c>
      <c r="B9" s="35">
        <f>COUNTIF('Daily Questions'!$D$2:$D$1501,A9)</f>
        <v/>
      </c>
      <c r="C9" s="35">
        <f>COUNTIFS('Daily Questions'!$D$2:$D$1501,A9,'Daily Questions'!$H$2:$H$1501,"Easy")</f>
        <v/>
      </c>
      <c r="D9" s="35">
        <f>COUNTIFS('Daily Questions'!$D$2:$D$1501,A9,'Daily Questions'!$H$2:$H$1501,"Medium")</f>
        <v/>
      </c>
      <c r="E9" s="35">
        <f>COUNTIFS('Daily Questions'!$D$2:$D$1501,A9,'Daily Questions'!$H$2:$H$1501,"Hard")</f>
        <v/>
      </c>
    </row>
    <row r="10" ht="15" customHeight="1" s="26">
      <c r="A10" s="36" t="inlineStr">
        <is>
          <t>Movies, Music and Games</t>
        </is>
      </c>
      <c r="B10" s="35">
        <f>COUNTIF('Daily Questions'!$D$2:$D$1501,A10)</f>
        <v/>
      </c>
      <c r="C10" s="35">
        <f>COUNTIFS('Daily Questions'!$D$2:$D$1501,A10,'Daily Questions'!$H$2:$H$1501,"Easy")</f>
        <v/>
      </c>
      <c r="D10" s="35">
        <f>COUNTIFS('Daily Questions'!$D$2:$D$1501,A10,'Daily Questions'!$H$2:$H$1501,"Medium")</f>
        <v/>
      </c>
      <c r="E10" s="35">
        <f>COUNTIFS('Daily Questions'!$D$2:$D$1501,A10,'Daily Questions'!$H$2:$H$1501,"Hard")</f>
        <v/>
      </c>
    </row>
    <row r="11" ht="15" customHeight="1" s="26">
      <c r="A11" s="36" t="inlineStr">
        <is>
          <t>Space and Science</t>
        </is>
      </c>
      <c r="B11" s="35">
        <f>COUNTIF('Daily Questions'!$D$2:$D$1501,A11)</f>
        <v/>
      </c>
      <c r="C11" s="35">
        <f>COUNTIFS('Daily Questions'!$D$2:$D$1501,A11,'Daily Questions'!$H$2:$H$1501,"Easy")</f>
        <v/>
      </c>
      <c r="D11" s="35">
        <f>COUNTIFS('Daily Questions'!$D$2:$D$1501,A11,'Daily Questions'!$H$2:$H$1501,"Medium")</f>
        <v/>
      </c>
      <c r="E11" s="35">
        <f>COUNTIFS('Daily Questions'!$D$2:$D$1501,A11,'Daily Questions'!$H$2:$H$1501,"Hard")</f>
        <v/>
      </c>
    </row>
    <row r="12" ht="15" customHeight="1" s="26">
      <c r="A12" s="36" t="inlineStr">
        <is>
          <t>Sports</t>
        </is>
      </c>
      <c r="B12" s="35">
        <f>COUNTIF('Daily Questions'!$D$2:$D$1501,A12)</f>
        <v/>
      </c>
      <c r="C12" s="35">
        <f>COUNTIFS('Daily Questions'!$D$2:$D$1501,A12,'Daily Questions'!$H$2:$H$1501,"Easy")</f>
        <v/>
      </c>
      <c r="D12" s="35">
        <f>COUNTIFS('Daily Questions'!$D$2:$D$1501,A12,'Daily Questions'!$H$2:$H$1501,"Medium")</f>
        <v/>
      </c>
      <c r="E12" s="35">
        <f>COUNTIFS('Daily Questions'!$D$2:$D$1501,A12,'Daily Questions'!$H$2:$H$1501,"Hard")</f>
        <v/>
      </c>
    </row>
    <row r="13" ht="15" customHeight="1" s="26">
      <c r="A13" s="36" t="inlineStr">
        <is>
          <t>Total</t>
        </is>
      </c>
      <c r="B13" s="48">
        <f>SUM(B2:B12)</f>
        <v/>
      </c>
      <c r="C13" s="48">
        <f>SUM(C2:C12)</f>
        <v/>
      </c>
      <c r="D13" s="48">
        <f>SUM(D2:D12)</f>
        <v/>
      </c>
      <c r="E13" s="48">
        <f>SUM(E2:E12)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6" customWidth="1" style="26" min="1" max="1"/>
    <col width="70" customWidth="1" style="26" min="2" max="2"/>
    <col width="14" customWidth="1" style="26" min="3" max="3"/>
    <col width="14" customWidth="1" style="26" min="4" max="4"/>
    <col width="10" customWidth="1" style="26" min="5" max="5"/>
    <col width="40" customWidth="1" style="26" min="6" max="6"/>
    <col width="32" customWidth="1" style="26" min="7" max="7"/>
  </cols>
  <sheetData>
    <row r="1">
      <c r="A1" t="inlineStr">
        <is>
          <t>Category</t>
        </is>
      </c>
      <c r="B1" t="inlineStr">
        <is>
          <t>Question</t>
        </is>
      </c>
      <c r="C1" t="inlineStr">
        <is>
          <t>Answer</t>
        </is>
      </c>
      <c r="D1" t="inlineStr">
        <is>
          <t>Unit</t>
        </is>
      </c>
      <c r="E1" t="inlineStr">
        <is>
          <t>Difficulty</t>
        </is>
      </c>
      <c r="F1" t="inlineStr">
        <is>
          <t>Source to Check</t>
        </is>
      </c>
      <c r="G1" t="inlineStr">
        <is>
          <t>Notes</t>
        </is>
      </c>
    </row>
    <row r="2">
      <c r="A2" t="inlineStr">
        <is>
          <t>Animals and Nature</t>
        </is>
      </c>
      <c r="B2" t="inlineStr">
        <is>
          <t>How many legs does a spider have?</t>
        </is>
      </c>
      <c r="C2" t="n">
        <v>8</v>
      </c>
      <c r="D2" t="inlineStr">
        <is>
          <t>legs</t>
        </is>
      </c>
      <c r="E2" t="inlineStr">
        <is>
          <t>Easy</t>
        </is>
      </c>
      <c r="F2" t="inlineStr">
        <is>
          <t>National Geographic</t>
        </is>
      </c>
      <c r="G2" t="inlineStr">
        <is>
          <t>Spare question, not scheduled yet</t>
        </is>
      </c>
    </row>
    <row r="3">
      <c r="A3" t="inlineStr">
        <is>
          <t>Human Body</t>
        </is>
      </c>
      <c r="B3" t="inlineStr">
        <is>
          <t>How many litres of air can adult lungs hold in total?</t>
        </is>
      </c>
      <c r="C3" t="n">
        <v>6</v>
      </c>
      <c r="D3" t="inlineStr">
        <is>
          <t>litres</t>
        </is>
      </c>
      <c r="E3" t="inlineStr">
        <is>
          <t>Medium</t>
        </is>
      </c>
      <c r="F3" t="inlineStr">
        <is>
          <t>American Lung Association</t>
        </is>
      </c>
      <c r="G3" t="inlineStr">
        <is>
          <t>Spare question, not scheduled yet</t>
        </is>
      </c>
    </row>
    <row r="4">
      <c r="A4" t="inlineStr">
        <is>
          <t>Buildings and Engineering</t>
        </is>
      </c>
      <c r="B4" t="inlineStr">
        <is>
          <t>How tall is The Motherland Calls statue in Volgograd?</t>
        </is>
      </c>
      <c r="C4" t="n">
        <v>85</v>
      </c>
      <c r="D4" t="inlineStr">
        <is>
          <t>metres</t>
        </is>
      </c>
      <c r="E4" t="inlineStr">
        <is>
          <t>Hard</t>
        </is>
      </c>
      <c r="F4" t="inlineStr">
        <is>
          <t>Britannica</t>
        </is>
      </c>
      <c r="G4" t="inlineStr">
        <is>
          <t>Spare question, not scheduled yet</t>
        </is>
      </c>
    </row>
    <row r="5">
      <c r="A5" t="inlineStr">
        <is>
          <t>Buildings and Engineering</t>
        </is>
      </c>
      <c r="B5" t="inlineStr">
        <is>
          <t>How long is the Hollywood Sign?</t>
        </is>
      </c>
      <c r="C5" t="n">
        <v>107</v>
      </c>
      <c r="D5" t="inlineStr">
        <is>
          <t>metres</t>
        </is>
      </c>
      <c r="E5" t="inlineStr">
        <is>
          <t>Hard</t>
        </is>
      </c>
      <c r="F5" t="inlineStr">
        <is>
          <t>Hollywood Sign Trust</t>
        </is>
      </c>
      <c r="G5" t="inlineStr">
        <is>
          <t>Spare question, not scheduled yet</t>
        </is>
      </c>
    </row>
    <row r="6">
      <c r="A6" t="inlineStr">
        <is>
          <t>Canada</t>
        </is>
      </c>
      <c r="B6" t="inlineStr">
        <is>
          <t>How much snow does Montreal get in a typical year?</t>
        </is>
      </c>
      <c r="C6" t="n">
        <v>210</v>
      </c>
      <c r="D6" t="inlineStr">
        <is>
          <t>cm</t>
        </is>
      </c>
      <c r="E6" t="inlineStr">
        <is>
          <t>Hard</t>
        </is>
      </c>
      <c r="F6" t="inlineStr">
        <is>
          <t>Environment and Climate Change Canada</t>
        </is>
      </c>
      <c r="G6" t="inlineStr">
        <is>
          <t>Spare question, not scheduled yet</t>
        </is>
      </c>
    </row>
    <row r="7">
      <c r="A7" t="inlineStr">
        <is>
          <t>Food and Everyday Life</t>
        </is>
      </c>
      <c r="B7" t="inlineStr">
        <is>
          <t>How many minutes does dried spaghetti usually take to cook?</t>
        </is>
      </c>
      <c r="C7" t="n">
        <v>10</v>
      </c>
      <c r="D7" t="inlineStr">
        <is>
          <t>minutes</t>
        </is>
      </c>
      <c r="E7" t="inlineStr">
        <is>
          <t>Easy</t>
        </is>
      </c>
      <c r="F7" t="inlineStr">
        <is>
          <t>Barilla</t>
        </is>
      </c>
      <c r="G7" t="inlineStr">
        <is>
          <t>Spare question, not scheduled yet</t>
        </is>
      </c>
    </row>
    <row r="8">
      <c r="A8" t="inlineStr">
        <is>
          <t>Food and Everyday Life</t>
        </is>
      </c>
      <c r="B8" t="inlineStr">
        <is>
          <t>How many millilitres are in a tablespoon?</t>
        </is>
      </c>
      <c r="C8" t="n">
        <v>15</v>
      </c>
      <c r="D8" t="inlineStr">
        <is>
          <t>mL</t>
        </is>
      </c>
      <c r="E8" t="inlineStr">
        <is>
          <t>Medium</t>
        </is>
      </c>
      <c r="F8" t="inlineStr">
        <is>
          <t>Health Canada</t>
        </is>
      </c>
      <c r="G8" t="inlineStr">
        <is>
          <t>Spare question, not scheduled yet</t>
        </is>
      </c>
    </row>
    <row r="9">
      <c r="A9" t="inlineStr">
        <is>
          <t>Geography</t>
        </is>
      </c>
      <c r="B9" t="inlineStr">
        <is>
          <t>How many countries share a land border with Russia?</t>
        </is>
      </c>
      <c r="C9" t="n">
        <v>14</v>
      </c>
      <c r="D9" t="inlineStr">
        <is>
          <t>countries</t>
        </is>
      </c>
      <c r="E9" t="inlineStr">
        <is>
          <t>Medium</t>
        </is>
      </c>
      <c r="F9" t="inlineStr">
        <is>
          <t>CIA World Factbook</t>
        </is>
      </c>
      <c r="G9" t="inlineStr">
        <is>
          <t>Spare question, not scheduled yet</t>
        </is>
      </c>
    </row>
    <row r="10">
      <c r="A10" t="inlineStr">
        <is>
          <t>Geography</t>
        </is>
      </c>
      <c r="B10" t="inlineStr">
        <is>
          <t>How high above sea level is Lake Titicaca?</t>
        </is>
      </c>
      <c r="C10" t="n">
        <v>3812</v>
      </c>
      <c r="D10" t="inlineStr">
        <is>
          <t>metres</t>
        </is>
      </c>
      <c r="E10" t="inlineStr">
        <is>
          <t>Hard</t>
        </is>
      </c>
      <c r="F10" t="inlineStr">
        <is>
          <t>Britannica</t>
        </is>
      </c>
      <c r="G10" t="inlineStr">
        <is>
          <t>Spare question, not scheduled yet</t>
        </is>
      </c>
    </row>
    <row r="11">
      <c r="A11" t="inlineStr">
        <is>
          <t>History</t>
        </is>
      </c>
      <c r="B11" t="inlineStr">
        <is>
          <t>How deep is the wreck of the Titanic?</t>
        </is>
      </c>
      <c r="C11" t="n">
        <v>3800</v>
      </c>
      <c r="D11" t="inlineStr">
        <is>
          <t>metres</t>
        </is>
      </c>
      <c r="E11" t="inlineStr">
        <is>
          <t>Medium</t>
        </is>
      </c>
      <c r="F11" t="inlineStr">
        <is>
          <t>NOAA</t>
        </is>
      </c>
      <c r="G11" t="inlineStr">
        <is>
          <t>Spare question, not scheduled yet</t>
        </is>
      </c>
    </row>
    <row r="12">
      <c r="A12" t="inlineStr">
        <is>
          <t>Movies, Music and Games</t>
        </is>
      </c>
      <c r="B12" t="inlineStr">
        <is>
          <t>How long is The Matrix?</t>
        </is>
      </c>
      <c r="C12" t="n">
        <v>136</v>
      </c>
      <c r="D12" t="inlineStr">
        <is>
          <t>minutes</t>
        </is>
      </c>
      <c r="E12" t="inlineStr">
        <is>
          <t>Medium</t>
        </is>
      </c>
      <c r="F12" t="inlineStr">
        <is>
          <t>IMDb</t>
        </is>
      </c>
      <c r="G12" t="inlineStr">
        <is>
          <t>Spare question, not scheduled yet</t>
        </is>
      </c>
    </row>
    <row r="13">
      <c r="A13" t="inlineStr">
        <is>
          <t>Movies, Music and Games</t>
        </is>
      </c>
      <c r="B13" t="inlineStr">
        <is>
          <t>How tall is an Oscar statuette?</t>
        </is>
      </c>
      <c r="C13" t="n">
        <v>34</v>
      </c>
      <c r="D13" t="inlineStr">
        <is>
          <t>cm</t>
        </is>
      </c>
      <c r="E13" t="inlineStr">
        <is>
          <t>Medium</t>
        </is>
      </c>
      <c r="F13" t="inlineStr">
        <is>
          <t>Academy of Motion Picture Arts and Sciences</t>
        </is>
      </c>
      <c r="G13" t="inlineStr">
        <is>
          <t>Spare question, not scheduled yet</t>
        </is>
      </c>
    </row>
    <row r="14">
      <c r="A14" t="inlineStr">
        <is>
          <t>Space and Science</t>
        </is>
      </c>
      <c r="B14" t="inlineStr">
        <is>
          <t>What is the atomic number of oxygen?</t>
        </is>
      </c>
      <c r="C14" t="n">
        <v>8</v>
      </c>
      <c r="E14" t="inlineStr">
        <is>
          <t>Easy</t>
        </is>
      </c>
      <c r="F14" t="inlineStr">
        <is>
          <t>IUPAC periodic table</t>
        </is>
      </c>
      <c r="G14" t="inlineStr">
        <is>
          <t>Spare question, not scheduled yet</t>
        </is>
      </c>
    </row>
    <row r="15">
      <c r="A15" t="inlineStr">
        <is>
          <t>Sports</t>
        </is>
      </c>
      <c r="B15" t="inlineStr">
        <is>
          <t>How long is one lap of the Indianapolis Motor Speedway?</t>
        </is>
      </c>
      <c r="C15" t="n">
        <v>2.5</v>
      </c>
      <c r="D15" t="inlineStr">
        <is>
          <t>miles</t>
        </is>
      </c>
      <c r="E15" t="inlineStr">
        <is>
          <t>Hard</t>
        </is>
      </c>
      <c r="F15" t="inlineStr">
        <is>
          <t>Indianapolis Motor Speedway</t>
        </is>
      </c>
      <c r="G15" t="inlineStr">
        <is>
          <t>Spare question, not scheduled yet</t>
        </is>
      </c>
    </row>
    <row r="16">
      <c r="A16" t="inlineStr">
        <is>
          <t>Sports</t>
        </is>
      </c>
      <c r="B16" t="inlineStr">
        <is>
          <t>How many assists did John Stockton record in his NBA career?</t>
        </is>
      </c>
      <c r="C16" t="n">
        <v>15806</v>
      </c>
      <c r="D16" t="inlineStr">
        <is>
          <t>assists</t>
        </is>
      </c>
      <c r="E16" t="inlineStr">
        <is>
          <t>Hard</t>
        </is>
      </c>
      <c r="F16" t="inlineStr">
        <is>
          <t>NBA.com</t>
        </is>
      </c>
      <c r="G16" t="inlineStr">
        <is>
          <t>Spare question, not scheduled yet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2026-10-02T23:58:10Z</dcterms:created>
  <dcterms:modified xmlns:dcterms="http://purl.org/dc/terms/" xmlns:xsi="http://www.w3.org/2001/XMLSchema-instance" xsi:type="dcterms:W3CDTF">2026-10-26T02:52:44Z</dcterms:modified>
  <cp:revision>0</cp:revision>
</cp:coreProperties>
</file>